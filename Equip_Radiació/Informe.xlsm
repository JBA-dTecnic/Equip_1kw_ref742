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F1FF850-B1C1-4CDB-A529-6138ADF8A3FF}" xr6:coauthVersionLast="47" xr6:coauthVersionMax="47" xr10:uidLastSave="{00000000-0000-0000-0000-000000000000}"/>
  <bookViews>
    <workbookView xWindow="-103" yWindow="-103" windowWidth="22149" windowHeight="13200" activeTab="2" xr2:uid="{00000000-000D-0000-FFFF-FFFF00000000}"/>
  </bookViews>
  <sheets>
    <sheet name="Hoja1" sheetId="1" r:id="rId1"/>
    <sheet name="Calibración" sheetId="5" r:id="rId2"/>
    <sheet name="Ensayo B" sheetId="4" r:id="rId3"/>
    <sheet name="Ensayo A" sheetId="6" r:id="rId4"/>
  </sheets>
  <definedNames>
    <definedName name="_xleta.AND" hidden="1" xlm="1">#NAME?</definedName>
    <definedName name="_xlnm.Print_Area" localSheetId="3">'Ensayo A'!$A$1:$K$54</definedName>
    <definedName name="_xlnm.Print_Area" localSheetId="2">'Ensayo B'!$A$1:$K$54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" i="4" l="1"/>
  <c r="E51" i="4" s="1"/>
  <c r="F46" i="4"/>
  <c r="F51" i="4" s="1"/>
  <c r="H46" i="4"/>
  <c r="E47" i="4"/>
  <c r="F47" i="4"/>
  <c r="E48" i="4"/>
  <c r="F48" i="4"/>
  <c r="E49" i="4"/>
  <c r="F49" i="4"/>
  <c r="E50" i="4"/>
  <c r="F50" i="4"/>
  <c r="C51" i="4"/>
  <c r="D51" i="4"/>
  <c r="G46" i="4" s="1"/>
  <c r="D77" i="6"/>
  <c r="E77" i="6" s="1"/>
  <c r="C77" i="6"/>
  <c r="L77" i="6" s="1"/>
  <c r="L76" i="6"/>
  <c r="E76" i="6"/>
  <c r="D76" i="6"/>
  <c r="C76" i="6"/>
  <c r="D75" i="6"/>
  <c r="E75" i="6" s="1"/>
  <c r="C75" i="6"/>
  <c r="L75" i="6" s="1"/>
  <c r="L74" i="6"/>
  <c r="E74" i="6"/>
  <c r="D74" i="6"/>
  <c r="C74" i="6"/>
  <c r="D73" i="6"/>
  <c r="E73" i="6" s="1"/>
  <c r="C73" i="6"/>
  <c r="L73" i="6" s="1"/>
  <c r="C10" i="6"/>
  <c r="C6" i="6"/>
  <c r="C5" i="6"/>
  <c r="D47" i="5"/>
  <c r="D48" i="5"/>
  <c r="D49" i="5"/>
  <c r="D50" i="5"/>
  <c r="D46" i="5" l="1"/>
  <c r="D51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C10" i="5"/>
  <c r="C6" i="5"/>
  <c r="C5" i="5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D77" i="4"/>
  <c r="E77" i="4" s="1"/>
  <c r="C77" i="4"/>
  <c r="L77" i="4" s="1"/>
  <c r="D76" i="4"/>
  <c r="E76" i="4" s="1"/>
  <c r="C76" i="4"/>
  <c r="L76" i="4" s="1"/>
  <c r="D75" i="4"/>
  <c r="E75" i="4" s="1"/>
  <c r="C75" i="4"/>
  <c r="L75" i="4" s="1"/>
  <c r="D74" i="4"/>
  <c r="E74" i="4" s="1"/>
  <c r="C74" i="4"/>
  <c r="L74" i="4" s="1"/>
  <c r="D73" i="4"/>
  <c r="E73" i="4" s="1"/>
  <c r="C73" i="4"/>
  <c r="L73" i="4" s="1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<sst xmlns="http://schemas.openxmlformats.org/spreadsheetml/2006/main" count="61" uniqueCount="32">
  <si>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</si>
  <si>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</si>
  <si>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</si>
  <si>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</si>
  <si>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</si>
  <si>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</si>
  <si>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</si>
  <si>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</si>
  <si>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</si>
  <si>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</si>
  <si>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</si>
  <si>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Cp</t>
  </si>
  <si>
    <t>Q0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</si>
  <si>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</si>
  <si>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</si>
  <si>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</si>
  <si>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</si>
  <si>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</si>
  <si>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</si>
  <si>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</si>
  <si>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</si>
  <si>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</si>
  <si>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</si>
  <si>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23/12/25</t>
  </si>
  <si>
    <t>MEDIA</t>
  </si>
  <si>
    <t>Instante Inicio (s)</t>
  </si>
  <si>
    <t>Instante Final (s)</t>
  </si>
  <si>
    <t>s</t>
  </si>
  <si>
    <t>TF</t>
  </si>
  <si>
    <t>RHTI(Q0)</t>
  </si>
  <si>
    <t>Informe de calibración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</si>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</sst>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164" fontId="5" fillId="0" borderId="0" xfId="0" applyNumberFormat="1" applyFont="1" applyBorder="1" applyAlignment="1">
      <alignment horizontal="center"/>
    </xf>
  </cellXfs>
  <cellStyles count="2">
    <cellStyle name="Normal" xfId="0" builtinId="0"/>
    <cellStyle name="Porcentaje 2" xfId="1" xr:uid="{00000000-0005-0000-0000-000002000000}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D-4547-AA35-76377BCFF616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D-4547-AA35-76377BCFF616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D-4547-AA35-76377BCFF616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AD-4547-AA35-76377BCFF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40-4511-839C-04F4DF2B6FC2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40-4511-839C-04F4DF2B6FC2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40-4511-839C-04F4DF2B6FC2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40-4511-839C-04F4DF2B6FC2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40-4511-839C-04F4DF2B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485007</xdr:colOff>
          <xdr:row>41</xdr:row>
          <xdr:rowOff>37723</xdr:rowOff>
        </xdr:from>
        <xdr:to>
          <xdr:col>9</xdr:col>
          <xdr:colOff>490397</xdr:colOff>
          <xdr:row>43</xdr:row>
          <xdr:rowOff>97594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783770</xdr:colOff>
      <xdr:row>15</xdr:row>
      <xdr:rowOff>0</xdr:rowOff>
    </xdr:from>
    <xdr:to>
      <xdr:col>10</xdr:col>
      <xdr:colOff>609599</xdr:colOff>
      <xdr:row>42</xdr:row>
      <xdr:rowOff>21772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FE4EB7-879F-46BB-87EF-23DB9DFFC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G9" sqref="G9"/>
    </sheetView>
  </sheetViews>
  <sheetFormatPr defaultColWidth="11.07421875" defaultRowHeight="12.45" x14ac:dyDescent="0.3"/>
  <cols>
    <col min="1" max="1" width="3.15234375" customWidth="1"/>
    <col min="3" max="3" width="13.84375" customWidth="1"/>
    <col min="4" max="4" width="5.3828125" customWidth="1"/>
    <col min="5" max="5" width="10.3828125" customWidth="1"/>
    <col min="6" max="6" width="16.15234375" customWidth="1"/>
    <col min="7" max="7" width="13.53515625" customWidth="1"/>
    <col min="8" max="8" width="14.3828125" customWidth="1"/>
    <col min="10" max="10" width="11.3828125" style="5"/>
    <col min="11" max="11" width="13.53515625" style="3" customWidth="1"/>
    <col min="12" max="12" width="13.53515625" style="25" customWidth="1"/>
    <col min="13" max="13" width="13.53515625" style="3" customWidth="1"/>
    <col min="14" max="14" width="13.53515625" style="25" customWidth="1"/>
    <col min="15" max="15" width="13.53515625" style="3" customWidth="1"/>
    <col min="16" max="16" width="13.53515625" style="25" customWidth="1"/>
    <col min="17" max="17" width="13.53515625" style="3" customWidth="1"/>
    <col min="18" max="18" width="13.53515625" style="25" customWidth="1"/>
    <col min="19" max="19" width="13.53515625" style="3" customWidth="1"/>
    <col min="20" max="20" width="13.53515625" style="25" customWidth="1"/>
    <col min="22" max="22" width="11.3828125" style="3"/>
    <col min="23" max="23" width="11.3828125" style="16"/>
    <col min="24" max="24" width="11.3828125" style="3"/>
    <col min="25" max="25" width="11.3828125" style="16"/>
    <col min="26" max="26" width="11.3828125" style="3"/>
    <col min="27" max="27" width="11.3828125" style="16"/>
    <col min="28" max="28" width="11.3828125" style="3"/>
    <col min="29" max="29" width="11.3828125" style="16"/>
    <col min="53" max="53" width="12.84375" customWidth="1"/>
  </cols>
  <sheetData>
    <row r="1" spans="2:62" ht="25.3" x14ac:dyDescent="0.6">
      <c r="B1" s="56"/>
      <c r="C1" s="56"/>
      <c r="D1" s="56"/>
      <c r="E1" s="56"/>
      <c r="F1" s="56"/>
      <c r="G1" s="56"/>
      <c r="H1" s="56"/>
      <c r="K1"/>
      <c r="L1"/>
      <c r="M1"/>
      <c r="N1"/>
      <c r="O1"/>
      <c r="P1"/>
      <c r="Q1"/>
      <c r="R1"/>
      <c r="S1"/>
      <c r="T1"/>
    </row>
    <row r="2" spans="2:62" x14ac:dyDescent="0.3">
      <c r="K2"/>
      <c r="L2"/>
      <c r="M2"/>
      <c r="N2"/>
      <c r="O2"/>
      <c r="P2"/>
      <c r="Q2"/>
      <c r="R2"/>
      <c r="S2"/>
      <c r="T2"/>
    </row>
    <row r="3" spans="2:62" x14ac:dyDescent="0.3">
      <c r="J3" s="39" t="s">
        <v>10</v>
      </c>
      <c r="K3" s="34" t="s">
        <v>27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7.600000000000001" x14ac:dyDescent="0.4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3">
      <c r="J5" s="7"/>
      <c r="K5" s="8">
        <v>0</v>
      </c>
      <c r="L5" s="25">
        <v>0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3">
      <c r="E6" s="57"/>
      <c r="F6" s="58"/>
      <c r="G6" s="59"/>
      <c r="J6" s="7"/>
      <c r="K6" s="8">
        <v>0</v>
      </c>
      <c r="L6" s="25">
        <v>0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1E-3</v>
      </c>
      <c r="BB6" t="str">
        <f t="shared" si="0"/>
        <v/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3" customHeight="1" x14ac:dyDescent="0.3">
      <c r="J7" s="7"/>
      <c r="K7" s="8">
        <v>0</v>
      </c>
      <c r="L7" s="25">
        <v>0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1E-3</v>
      </c>
      <c r="BB7" t="str">
        <f t="shared" si="0"/>
        <v/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ht="12.9" x14ac:dyDescent="0.35">
      <c r="D8" s="2"/>
      <c r="E8" s="31" t="s">
        <v>8</v>
      </c>
      <c r="G8" s="35" t="s">
        <v>31</v>
      </c>
      <c r="J8" s="7"/>
      <c r="K8" s="8">
        <v>0</v>
      </c>
      <c r="L8" s="25">
        <v>0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1E-3</v>
      </c>
      <c r="BB8" t="str">
        <f t="shared" si="0"/>
        <v/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ht="12.9" x14ac:dyDescent="0.35">
      <c r="F9" s="31"/>
      <c r="G9" s="35"/>
      <c r="J9" s="7"/>
      <c r="K9" s="8">
        <v>0</v>
      </c>
      <c r="L9" s="25">
        <v>0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1E-3</v>
      </c>
      <c r="BB9" t="str">
        <f t="shared" si="0"/>
        <v/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ht="12.9" x14ac:dyDescent="0.35">
      <c r="E10" s="31"/>
      <c r="G10" s="35"/>
      <c r="J10" s="7"/>
      <c r="K10" s="8">
        <v>0</v>
      </c>
      <c r="L10" s="25">
        <v>0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1E-3</v>
      </c>
      <c r="BB10" t="str">
        <f t="shared" si="0"/>
        <v/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ht="12.9" x14ac:dyDescent="0.35">
      <c r="E11" s="31"/>
      <c r="G11" s="35"/>
      <c r="J11" s="7"/>
      <c r="K11" s="8">
        <v>0</v>
      </c>
      <c r="L11" s="25">
        <v>0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1E-3</v>
      </c>
      <c r="BB11" t="str">
        <f t="shared" si="0"/>
        <v/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ht="12.9" x14ac:dyDescent="0.35">
      <c r="E12" s="31"/>
      <c r="G12" s="35"/>
      <c r="J12" s="7"/>
      <c r="K12" s="8">
        <v>0</v>
      </c>
      <c r="L12" s="25">
        <v>0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1E-3</v>
      </c>
      <c r="BB12" t="str">
        <f t="shared" si="0"/>
        <v/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ht="12.9" x14ac:dyDescent="0.35">
      <c r="E13" s="31"/>
      <c r="G13" s="35"/>
      <c r="J13" s="7"/>
      <c r="K13" s="8">
        <v>0</v>
      </c>
      <c r="L13" s="25">
        <v>0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1E-3</v>
      </c>
      <c r="BB13" t="str">
        <f t="shared" si="0"/>
        <v/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ht="12.9" x14ac:dyDescent="0.35">
      <c r="E14" s="31"/>
      <c r="G14" s="35"/>
      <c r="J14" s="7"/>
      <c r="K14" s="8">
        <v>0</v>
      </c>
      <c r="L14" s="25">
        <v>0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1E-3</v>
      </c>
      <c r="BB14" t="str">
        <f t="shared" si="0"/>
        <v/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ht="12.9" x14ac:dyDescent="0.35">
      <c r="E15" s="31"/>
      <c r="G15" s="35"/>
      <c r="J15" s="7"/>
      <c r="K15" s="8">
        <v>0</v>
      </c>
      <c r="L15" s="25">
        <v>0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1E-3</v>
      </c>
      <c r="BB15" t="str">
        <f t="shared" si="0"/>
        <v/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ht="12.9" x14ac:dyDescent="0.35">
      <c r="E16" s="31"/>
      <c r="G16" s="35"/>
      <c r="J16" s="7"/>
      <c r="K16" s="8">
        <v>0</v>
      </c>
      <c r="L16" s="25">
        <v>0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ht="12.9" x14ac:dyDescent="0.35">
      <c r="E17" s="31"/>
      <c r="G17" s="36" t="s">
        <v>23</v>
      </c>
      <c r="J17" s="7"/>
      <c r="K17" s="8">
        <v>0</v>
      </c>
      <c r="L17" s="25">
        <v>0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ht="12.9" x14ac:dyDescent="0.35">
      <c r="E18" s="31"/>
      <c r="G18" s="37">
        <v>0.53611111111111109</v>
      </c>
      <c r="J18" s="7"/>
      <c r="K18" s="8">
        <v>0</v>
      </c>
      <c r="L18" s="25">
        <v>0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ht="12.9" x14ac:dyDescent="0.35">
      <c r="E19" s="31"/>
      <c r="G19" s="35"/>
      <c r="J19" s="7"/>
      <c r="K19" s="8">
        <v>0</v>
      </c>
      <c r="L19" s="25">
        <v>0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ht="12.9" x14ac:dyDescent="0.35">
      <c r="E20" s="31"/>
      <c r="G20" s="35"/>
      <c r="J20" s="7"/>
      <c r="K20" s="8">
        <v>0</v>
      </c>
      <c r="L20" s="25">
        <v>0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ht="12.9" x14ac:dyDescent="0.35">
      <c r="E21" s="31"/>
      <c r="G21" s="35"/>
      <c r="J21" s="7"/>
      <c r="K21" s="8">
        <v>0</v>
      </c>
      <c r="L21" s="25">
        <v>0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 t="str">
        <f t="shared" ref="BA21:BA84" si="6">IF((K21)&lt;&gt;0,(K21),"")</f>
        <v/>
      </c>
      <c r="BB21" t="str">
        <f t="shared" ref="BB21:BD84" si="7">IF((L21)&lt;&gt;0,(L21),"")</f>
        <v/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ht="12.9" x14ac:dyDescent="0.35">
      <c r="E22" s="31" t="s">
        <v>9</v>
      </c>
      <c r="G22" s="35"/>
      <c r="J22" s="7"/>
      <c r="K22" s="8">
        <v>0</v>
      </c>
      <c r="L22" s="25">
        <v>0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 t="str">
        <f t="shared" si="6"/>
        <v/>
      </c>
      <c r="BB22" t="str">
        <f t="shared" si="7"/>
        <v/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ht="12.9" x14ac:dyDescent="0.35">
      <c r="E23" s="31"/>
      <c r="G23" s="33"/>
      <c r="J23" s="7"/>
      <c r="K23" s="8">
        <v>0</v>
      </c>
      <c r="L23" s="25">
        <v>0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 t="str">
        <f t="shared" si="6"/>
        <v/>
      </c>
      <c r="BB23" t="str">
        <f t="shared" si="7"/>
        <v/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ht="12.9" x14ac:dyDescent="0.35">
      <c r="E24" s="31"/>
      <c r="G24" s="33"/>
      <c r="J24" s="7"/>
      <c r="K24" s="8">
        <v>0</v>
      </c>
      <c r="L24" s="25">
        <v>0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 t="str">
        <f t="shared" si="6"/>
        <v/>
      </c>
      <c r="BB24" t="str">
        <f t="shared" si="7"/>
        <v/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3">
      <c r="E25" s="42"/>
      <c r="J25" s="7"/>
      <c r="K25" s="8">
        <v>0</v>
      </c>
      <c r="L25" s="25">
        <v>0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 t="str">
        <f t="shared" si="6"/>
        <v/>
      </c>
      <c r="BB25" t="str">
        <f t="shared" si="7"/>
        <v/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3">
      <c r="E26" s="42"/>
      <c r="J26" s="7"/>
      <c r="K26" s="8">
        <v>0</v>
      </c>
      <c r="L26" s="25">
        <v>0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 t="str">
        <f t="shared" si="6"/>
        <v/>
      </c>
      <c r="BB26" t="str">
        <f t="shared" si="7"/>
        <v/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3">
      <c r="J27" s="7"/>
      <c r="K27" s="8">
        <v>0</v>
      </c>
      <c r="L27" s="25">
        <v>0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 t="str">
        <f t="shared" si="6"/>
        <v/>
      </c>
      <c r="BB27" t="str">
        <f t="shared" si="7"/>
        <v/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3">
      <c r="J28" s="7"/>
      <c r="K28" s="8">
        <v>0</v>
      </c>
      <c r="L28" s="25">
        <v>0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 t="str">
        <f t="shared" si="6"/>
        <v/>
      </c>
      <c r="BB28" t="str">
        <f t="shared" si="7"/>
        <v/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3">
      <c r="J29" s="7"/>
      <c r="K29" s="8">
        <v>0</v>
      </c>
      <c r="L29" s="25">
        <v>0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 t="str">
        <f t="shared" si="6"/>
        <v/>
      </c>
      <c r="BB29" t="str">
        <f t="shared" si="7"/>
        <v/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3">
      <c r="J30" s="7"/>
      <c r="K30" s="8">
        <v>0</v>
      </c>
      <c r="L30" s="25">
        <v>0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 t="str">
        <f t="shared" si="6"/>
        <v/>
      </c>
      <c r="BB30" t="str">
        <f t="shared" si="7"/>
        <v/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3">
      <c r="J31" s="7"/>
      <c r="K31" s="8">
        <v>0</v>
      </c>
      <c r="L31" s="25">
        <v>0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 t="str">
        <f t="shared" si="6"/>
        <v/>
      </c>
      <c r="BB31" t="str">
        <f t="shared" si="7"/>
        <v/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3">
      <c r="A32" s="1"/>
      <c r="B32" s="1"/>
      <c r="C32" s="1"/>
      <c r="D32" s="1"/>
      <c r="J32" s="7"/>
      <c r="K32" s="8">
        <v>0</v>
      </c>
      <c r="L32" s="25">
        <v>0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 t="str">
        <f t="shared" si="6"/>
        <v/>
      </c>
      <c r="BB32" t="str">
        <f t="shared" si="7"/>
        <v/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3">
      <c r="A33" s="1"/>
      <c r="J33" s="7"/>
      <c r="K33" s="8">
        <v>0</v>
      </c>
      <c r="L33" s="25">
        <v>0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 t="str">
        <f t="shared" si="6"/>
        <v/>
      </c>
      <c r="BB33" t="str">
        <f t="shared" si="7"/>
        <v/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3">
      <c r="A34" s="1"/>
      <c r="J34" s="7"/>
      <c r="K34" s="8">
        <v>0</v>
      </c>
      <c r="L34" s="25">
        <v>0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 t="str">
        <f t="shared" si="6"/>
        <v/>
      </c>
      <c r="BB34" t="str">
        <f t="shared" si="7"/>
        <v/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3">
      <c r="A35" s="1"/>
      <c r="J35" s="7"/>
      <c r="K35" s="8">
        <v>0</v>
      </c>
      <c r="L35" s="25">
        <v>0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 t="str">
        <f t="shared" si="6"/>
        <v/>
      </c>
      <c r="BB35" t="str">
        <f t="shared" si="7"/>
        <v/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3">
      <c r="J36" s="7"/>
      <c r="K36" s="8">
        <v>0</v>
      </c>
      <c r="L36" s="25">
        <v>0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 t="str">
        <f t="shared" si="6"/>
        <v/>
      </c>
      <c r="BB36" t="str">
        <f t="shared" si="7"/>
        <v/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3">
      <c r="A37" s="1"/>
      <c r="J37" s="7"/>
      <c r="K37" s="8">
        <v>0</v>
      </c>
      <c r="L37" s="25">
        <v>0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 t="str">
        <f t="shared" si="6"/>
        <v/>
      </c>
      <c r="BB37" t="str">
        <f t="shared" si="7"/>
        <v/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3">
      <c r="A38" s="1"/>
      <c r="J38" s="7"/>
      <c r="K38" s="8">
        <v>0</v>
      </c>
      <c r="L38" s="25">
        <v>0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 t="str">
        <f t="shared" si="6"/>
        <v/>
      </c>
      <c r="BB38" t="str">
        <f t="shared" si="7"/>
        <v/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3">
      <c r="J39" s="7"/>
      <c r="K39" s="8">
        <v>0</v>
      </c>
      <c r="L39" s="25">
        <v>0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 t="str">
        <f t="shared" si="6"/>
        <v/>
      </c>
      <c r="BB39" t="str">
        <f t="shared" si="7"/>
        <v/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3">
      <c r="J40" s="7"/>
      <c r="K40" s="8">
        <v>0</v>
      </c>
      <c r="L40" s="25">
        <v>0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 t="str">
        <f t="shared" si="6"/>
        <v/>
      </c>
      <c r="BB40" t="str">
        <f t="shared" si="7"/>
        <v/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3">
      <c r="B41" s="18"/>
      <c r="C41" s="18"/>
      <c r="D41" s="18"/>
      <c r="E41" s="18"/>
      <c r="F41" s="18"/>
      <c r="G41" s="18"/>
      <c r="H41" s="18"/>
      <c r="J41" s="7"/>
      <c r="K41" s="8">
        <v>0</v>
      </c>
      <c r="L41" s="25">
        <v>0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 t="str">
        <f t="shared" si="6"/>
        <v/>
      </c>
      <c r="BB41" t="str">
        <f t="shared" si="7"/>
        <v/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3">
      <c r="B42" s="18"/>
      <c r="C42" s="18"/>
      <c r="D42" s="18"/>
      <c r="E42" s="18"/>
      <c r="F42" s="18"/>
      <c r="G42" s="18"/>
      <c r="H42" s="18"/>
      <c r="J42" s="7"/>
      <c r="K42" s="8">
        <v>0</v>
      </c>
      <c r="L42" s="25">
        <v>0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 t="str">
        <f t="shared" si="6"/>
        <v/>
      </c>
      <c r="BB42" t="str">
        <f t="shared" si="7"/>
        <v/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3">
      <c r="B43" s="18"/>
      <c r="C43" s="18"/>
      <c r="D43" s="18"/>
      <c r="E43" s="18"/>
      <c r="F43" s="18"/>
      <c r="G43" s="18"/>
      <c r="H43" s="18"/>
      <c r="J43" s="7"/>
      <c r="K43" s="8">
        <v>0</v>
      </c>
      <c r="L43" s="25">
        <v>0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 t="str">
        <f t="shared" si="6"/>
        <v/>
      </c>
      <c r="BB43" t="str">
        <f t="shared" si="7"/>
        <v/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3">
      <c r="B44" s="18"/>
      <c r="C44" s="18"/>
      <c r="D44" s="18"/>
      <c r="E44" s="18"/>
      <c r="F44" s="18"/>
      <c r="G44" s="18"/>
      <c r="H44" s="18"/>
      <c r="J44" s="7"/>
      <c r="K44" s="8">
        <v>0</v>
      </c>
      <c r="L44" s="25">
        <v>0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 t="str">
        <f t="shared" si="6"/>
        <v/>
      </c>
      <c r="BB44" t="str">
        <f t="shared" si="7"/>
        <v/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3">
      <c r="B45" s="18"/>
      <c r="C45" s="18"/>
      <c r="D45" s="18"/>
      <c r="E45" s="18"/>
      <c r="F45" s="18"/>
      <c r="G45" s="18"/>
      <c r="H45" s="18"/>
      <c r="J45" s="7"/>
      <c r="K45" s="8">
        <v>0</v>
      </c>
      <c r="L45" s="25">
        <v>0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 t="str">
        <f t="shared" si="6"/>
        <v/>
      </c>
      <c r="BB45" t="str">
        <f t="shared" si="7"/>
        <v/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3">
      <c r="B46" s="18"/>
      <c r="C46" s="18"/>
      <c r="D46" s="18"/>
      <c r="E46" s="18"/>
      <c r="F46" s="18"/>
      <c r="G46" s="18"/>
      <c r="H46" s="18"/>
      <c r="J46" s="7"/>
      <c r="K46" s="8">
        <v>0</v>
      </c>
      <c r="L46" s="25">
        <v>0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 t="str">
        <f t="shared" si="6"/>
        <v/>
      </c>
      <c r="BB46" t="str">
        <f t="shared" si="7"/>
        <v/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3">
      <c r="B47" s="18"/>
      <c r="C47" s="18"/>
      <c r="D47" s="18"/>
      <c r="E47" s="18"/>
      <c r="F47" s="18"/>
      <c r="G47" s="18"/>
      <c r="H47" s="18"/>
      <c r="J47" s="7"/>
      <c r="K47" s="8">
        <v>0</v>
      </c>
      <c r="L47" s="25">
        <v>0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 t="str">
        <f t="shared" si="6"/>
        <v/>
      </c>
      <c r="BB47" t="str">
        <f t="shared" si="7"/>
        <v/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3">
      <c r="B48" s="18"/>
      <c r="C48" s="18"/>
      <c r="D48" s="18"/>
      <c r="E48" s="18"/>
      <c r="F48" s="18"/>
      <c r="G48" s="18"/>
      <c r="H48" s="18"/>
      <c r="J48" s="7"/>
      <c r="K48" s="8">
        <v>0</v>
      </c>
      <c r="L48" s="25">
        <v>0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 t="str">
        <f t="shared" si="6"/>
        <v/>
      </c>
      <c r="BB48" t="str">
        <f t="shared" si="7"/>
        <v/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3">
      <c r="J49" s="7"/>
      <c r="K49" s="8">
        <v>0</v>
      </c>
      <c r="L49" s="25">
        <v>0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 t="str">
        <f t="shared" si="6"/>
        <v/>
      </c>
      <c r="BB49" t="str">
        <f t="shared" si="7"/>
        <v/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3">
      <c r="J50" s="7"/>
      <c r="K50" s="8">
        <v>0</v>
      </c>
      <c r="L50" s="25">
        <v>0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 t="str">
        <f t="shared" si="6"/>
        <v/>
      </c>
      <c r="BB50" t="str">
        <f t="shared" si="7"/>
        <v/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3">
      <c r="J51" s="7"/>
      <c r="K51" s="8">
        <v>0</v>
      </c>
      <c r="L51" s="25">
        <v>0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 t="str">
        <f t="shared" si="6"/>
        <v/>
      </c>
      <c r="BB51" t="str">
        <f t="shared" si="7"/>
        <v/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3">
      <c r="J52" s="7"/>
      <c r="K52" s="8">
        <v>0</v>
      </c>
      <c r="L52" s="25">
        <v>0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 t="str">
        <f t="shared" si="6"/>
        <v/>
      </c>
      <c r="BB52" t="str">
        <f t="shared" si="7"/>
        <v/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3">
      <c r="J53" s="7"/>
      <c r="K53" s="8">
        <v>0</v>
      </c>
      <c r="L53" s="25">
        <v>0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 t="str">
        <f t="shared" si="6"/>
        <v/>
      </c>
      <c r="BB53" t="str">
        <f t="shared" si="7"/>
        <v/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3">
      <c r="J54" s="7"/>
      <c r="K54" s="8">
        <v>0</v>
      </c>
      <c r="L54" s="25">
        <v>0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 t="str">
        <f t="shared" si="6"/>
        <v/>
      </c>
      <c r="BB54" t="str">
        <f t="shared" si="7"/>
        <v/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3">
      <c r="J55" s="7"/>
      <c r="K55" s="8">
        <v>0</v>
      </c>
      <c r="L55" s="25">
        <v>0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 t="str">
        <f t="shared" si="6"/>
        <v/>
      </c>
      <c r="BB55" t="str">
        <f t="shared" si="7"/>
        <v/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3">
      <c r="J56" s="7"/>
      <c r="K56" s="8">
        <v>0</v>
      </c>
      <c r="L56" s="25">
        <v>0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 t="str">
        <f t="shared" si="6"/>
        <v/>
      </c>
      <c r="BB56" t="str">
        <f t="shared" si="7"/>
        <v/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3">
      <c r="J57" s="7"/>
      <c r="K57" s="8">
        <v>0</v>
      </c>
      <c r="L57" s="25">
        <v>0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 t="str">
        <f t="shared" si="6"/>
        <v/>
      </c>
      <c r="BB57" t="str">
        <f t="shared" si="7"/>
        <v/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3">
      <c r="J58" s="7"/>
      <c r="K58" s="8">
        <v>0</v>
      </c>
      <c r="L58" s="25">
        <v>0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 t="str">
        <f t="shared" si="6"/>
        <v/>
      </c>
      <c r="BB58" t="str">
        <f t="shared" si="7"/>
        <v/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3">
      <c r="J59" s="7"/>
      <c r="K59" s="8">
        <v>0</v>
      </c>
      <c r="L59" s="25">
        <v>0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 t="str">
        <f t="shared" si="6"/>
        <v/>
      </c>
      <c r="BB59" t="str">
        <f t="shared" si="7"/>
        <v/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3">
      <c r="J60" s="7"/>
      <c r="K60" s="8">
        <v>0</v>
      </c>
      <c r="L60" s="25">
        <v>0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 t="str">
        <f t="shared" si="6"/>
        <v/>
      </c>
      <c r="BB60" t="str">
        <f t="shared" si="7"/>
        <v/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3">
      <c r="J61" s="7"/>
      <c r="K61" s="8">
        <v>0</v>
      </c>
      <c r="L61" s="25">
        <v>0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 t="str">
        <f t="shared" si="6"/>
        <v/>
      </c>
      <c r="BB61" t="str">
        <f t="shared" si="7"/>
        <v/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3">
      <c r="J62" s="7"/>
      <c r="K62" s="8">
        <v>0</v>
      </c>
      <c r="L62" s="25">
        <v>0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 t="str">
        <f t="shared" si="6"/>
        <v/>
      </c>
      <c r="BB62" t="str">
        <f t="shared" si="7"/>
        <v/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3">
      <c r="J63" s="7"/>
      <c r="K63" s="8">
        <v>0</v>
      </c>
      <c r="L63" s="25">
        <v>0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 t="str">
        <f t="shared" si="6"/>
        <v/>
      </c>
      <c r="BB63" t="str">
        <f t="shared" si="7"/>
        <v/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3">
      <c r="J64" s="7"/>
      <c r="K64" s="8">
        <v>0</v>
      </c>
      <c r="L64" s="25">
        <v>0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 t="str">
        <f t="shared" si="6"/>
        <v/>
      </c>
      <c r="BB64" t="str">
        <f t="shared" si="7"/>
        <v/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3">
      <c r="J65" s="7"/>
      <c r="K65" s="8">
        <v>0</v>
      </c>
      <c r="L65" s="25">
        <v>0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 t="str">
        <f t="shared" si="6"/>
        <v/>
      </c>
      <c r="BB65" t="str">
        <f t="shared" si="7"/>
        <v/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3">
      <c r="J66" s="7"/>
      <c r="K66" s="8">
        <v>0</v>
      </c>
      <c r="L66" s="25">
        <v>0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 t="str">
        <f t="shared" si="6"/>
        <v/>
      </c>
      <c r="BB66" t="str">
        <f t="shared" si="7"/>
        <v/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3">
      <c r="J67" s="7"/>
      <c r="K67" s="8">
        <v>0</v>
      </c>
      <c r="L67" s="25">
        <v>0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 t="str">
        <f t="shared" si="6"/>
        <v/>
      </c>
      <c r="BB67" t="str">
        <f t="shared" si="7"/>
        <v/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3">
      <c r="J68" s="7"/>
      <c r="K68" s="8">
        <v>0</v>
      </c>
      <c r="L68" s="25">
        <v>0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 t="str">
        <f t="shared" si="6"/>
        <v/>
      </c>
      <c r="BB68" t="str">
        <f t="shared" si="7"/>
        <v/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3">
      <c r="J69" s="7"/>
      <c r="K69" s="8">
        <v>0</v>
      </c>
      <c r="L69" s="25">
        <v>0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 t="str">
        <f t="shared" si="6"/>
        <v/>
      </c>
      <c r="BB69" t="str">
        <f t="shared" si="7"/>
        <v/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3">
      <c r="J70" s="7"/>
      <c r="K70" s="8">
        <v>0</v>
      </c>
      <c r="L70" s="25">
        <v>0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 t="str">
        <f t="shared" si="6"/>
        <v/>
      </c>
      <c r="BB70" t="str">
        <f t="shared" si="7"/>
        <v/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3">
      <c r="J71" s="7"/>
      <c r="K71" s="8">
        <v>0</v>
      </c>
      <c r="L71" s="25">
        <v>0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 t="str">
        <f t="shared" si="6"/>
        <v/>
      </c>
      <c r="BB71" t="str">
        <f t="shared" si="7"/>
        <v/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3">
      <c r="J72" s="7"/>
      <c r="K72" s="8">
        <v>0</v>
      </c>
      <c r="L72" s="25">
        <v>0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 t="str">
        <f t="shared" si="6"/>
        <v/>
      </c>
      <c r="BB72" t="str">
        <f t="shared" si="7"/>
        <v/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3">
      <c r="J73" s="7"/>
      <c r="K73" s="8">
        <v>0</v>
      </c>
      <c r="L73" s="25">
        <v>0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 t="str">
        <f t="shared" si="6"/>
        <v/>
      </c>
      <c r="BB73" t="str">
        <f t="shared" si="7"/>
        <v/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3">
      <c r="J74" s="7"/>
      <c r="K74" s="8">
        <v>0</v>
      </c>
      <c r="L74" s="25">
        <v>0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 t="str">
        <f t="shared" si="6"/>
        <v/>
      </c>
      <c r="BB74" t="str">
        <f t="shared" si="7"/>
        <v/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3">
      <c r="J75" s="7"/>
      <c r="K75" s="8">
        <v>0</v>
      </c>
      <c r="L75" s="25">
        <v>0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 t="str">
        <f t="shared" si="6"/>
        <v/>
      </c>
      <c r="BB75" t="str">
        <f t="shared" si="7"/>
        <v/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3">
      <c r="J76" s="7"/>
      <c r="K76" s="8">
        <v>0</v>
      </c>
      <c r="L76" s="25">
        <v>0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 t="str">
        <f t="shared" si="6"/>
        <v/>
      </c>
      <c r="BB76" t="str">
        <f t="shared" si="7"/>
        <v/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3">
      <c r="J77" s="7"/>
      <c r="K77" s="8">
        <v>0</v>
      </c>
      <c r="L77" s="25">
        <v>0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 t="str">
        <f t="shared" si="6"/>
        <v/>
      </c>
      <c r="BB77" t="str">
        <f t="shared" si="7"/>
        <v/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3">
      <c r="J78" s="7"/>
      <c r="K78" s="8">
        <v>0</v>
      </c>
      <c r="L78" s="25">
        <v>0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 t="str">
        <f t="shared" si="6"/>
        <v/>
      </c>
      <c r="BB78" t="str">
        <f t="shared" si="7"/>
        <v/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3">
      <c r="J79" s="7"/>
      <c r="K79" s="8">
        <v>0</v>
      </c>
      <c r="L79" s="25">
        <v>0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 t="str">
        <f t="shared" si="6"/>
        <v/>
      </c>
      <c r="BB79" t="str">
        <f t="shared" si="7"/>
        <v/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3">
      <c r="J80" s="7"/>
      <c r="K80" s="8">
        <v>0</v>
      </c>
      <c r="L80" s="25">
        <v>0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 t="str">
        <f t="shared" si="6"/>
        <v/>
      </c>
      <c r="BB80" t="str">
        <f t="shared" si="7"/>
        <v/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3">
      <c r="J81" s="7"/>
      <c r="K81" s="8">
        <v>0</v>
      </c>
      <c r="L81" s="25">
        <v>0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 t="str">
        <f t="shared" si="6"/>
        <v/>
      </c>
      <c r="BB81" t="str">
        <f t="shared" si="7"/>
        <v/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3">
      <c r="J82" s="7"/>
      <c r="K82" s="8">
        <v>0</v>
      </c>
      <c r="L82" s="25">
        <v>0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 t="str">
        <f t="shared" si="6"/>
        <v/>
      </c>
      <c r="BB82" t="str">
        <f t="shared" si="7"/>
        <v/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3">
      <c r="J83" s="7"/>
      <c r="K83" s="8">
        <v>0</v>
      </c>
      <c r="L83" s="25">
        <v>0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 t="str">
        <f t="shared" si="6"/>
        <v/>
      </c>
      <c r="BB83" t="str">
        <f t="shared" si="7"/>
        <v/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3">
      <c r="J84" s="7"/>
      <c r="K84" s="8">
        <v>0</v>
      </c>
      <c r="L84" s="25">
        <v>0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 t="str">
        <f t="shared" si="6"/>
        <v/>
      </c>
      <c r="BB84" t="str">
        <f t="shared" si="7"/>
        <v/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3">
      <c r="J85" s="7"/>
      <c r="K85" s="8">
        <v>0</v>
      </c>
      <c r="L85" s="25">
        <v>0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 t="str">
        <f t="shared" ref="BA85:BA148" si="12">IF((K85)&lt;&gt;0,(K85),"")</f>
        <v/>
      </c>
      <c r="BB85" t="str">
        <f t="shared" ref="BB85:BJ148" si="13">IF((L85)&lt;&gt;0,(L85),"")</f>
        <v/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3">
      <c r="J86" s="7"/>
      <c r="K86" s="8">
        <v>0</v>
      </c>
      <c r="L86" s="25">
        <v>0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 t="str">
        <f t="shared" si="12"/>
        <v/>
      </c>
      <c r="BB86" t="str">
        <f t="shared" si="13"/>
        <v/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3">
      <c r="J87" s="7"/>
      <c r="K87" s="8">
        <v>0</v>
      </c>
      <c r="L87" s="25">
        <v>0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 t="str">
        <f t="shared" si="12"/>
        <v/>
      </c>
      <c r="BB87" t="str">
        <f t="shared" si="13"/>
        <v/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3">
      <c r="J88" s="7"/>
      <c r="K88" s="8">
        <v>0</v>
      </c>
      <c r="L88" s="25">
        <v>0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 t="str">
        <f t="shared" si="12"/>
        <v/>
      </c>
      <c r="BB88" t="str">
        <f t="shared" si="13"/>
        <v/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3">
      <c r="J89" s="7"/>
      <c r="K89" s="8">
        <v>0</v>
      </c>
      <c r="L89" s="25">
        <v>0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 t="str">
        <f t="shared" si="12"/>
        <v/>
      </c>
      <c r="BB89" t="str">
        <f t="shared" si="13"/>
        <v/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3">
      <c r="J90" s="7"/>
      <c r="K90" s="8">
        <v>0</v>
      </c>
      <c r="L90" s="25">
        <v>0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 t="str">
        <f t="shared" si="12"/>
        <v/>
      </c>
      <c r="BB90" t="str">
        <f t="shared" si="13"/>
        <v/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3">
      <c r="J91" s="7"/>
      <c r="K91" s="8">
        <v>0</v>
      </c>
      <c r="L91" s="25">
        <v>0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 t="str">
        <f t="shared" si="12"/>
        <v/>
      </c>
      <c r="BB91" t="str">
        <f t="shared" si="13"/>
        <v/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3">
      <c r="J92" s="7"/>
      <c r="K92" s="8">
        <v>0</v>
      </c>
      <c r="L92" s="25">
        <v>0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 t="str">
        <f t="shared" si="12"/>
        <v/>
      </c>
      <c r="BB92" t="str">
        <f t="shared" si="13"/>
        <v/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3">
      <c r="J93" s="7"/>
      <c r="K93" s="8">
        <v>0</v>
      </c>
      <c r="L93" s="25">
        <v>0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 t="str">
        <f t="shared" si="12"/>
        <v/>
      </c>
      <c r="BB93" t="str">
        <f t="shared" si="13"/>
        <v/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3">
      <c r="J94" s="7"/>
      <c r="K94" s="8">
        <v>0</v>
      </c>
      <c r="L94" s="25">
        <v>0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 t="str">
        <f t="shared" si="12"/>
        <v/>
      </c>
      <c r="BB94" t="str">
        <f t="shared" si="13"/>
        <v/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3">
      <c r="J95" s="7"/>
      <c r="K95" s="8">
        <v>0</v>
      </c>
      <c r="L95" s="25">
        <v>0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 t="str">
        <f t="shared" si="12"/>
        <v/>
      </c>
      <c r="BB95" t="str">
        <f t="shared" si="13"/>
        <v/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3">
      <c r="J96" s="7"/>
      <c r="K96" s="8">
        <v>0</v>
      </c>
      <c r="L96" s="25">
        <v>0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 t="str">
        <f t="shared" si="12"/>
        <v/>
      </c>
      <c r="BB96" t="str">
        <f t="shared" si="13"/>
        <v/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3">
      <c r="J97" s="7"/>
      <c r="K97" s="8">
        <v>0</v>
      </c>
      <c r="L97" s="25">
        <v>0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 t="str">
        <f t="shared" si="12"/>
        <v/>
      </c>
      <c r="BB97" t="str">
        <f t="shared" si="13"/>
        <v/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3">
      <c r="J98" s="7"/>
      <c r="K98" s="8">
        <v>0</v>
      </c>
      <c r="L98" s="25">
        <v>0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 t="str">
        <f t="shared" si="12"/>
        <v/>
      </c>
      <c r="BB98" t="str">
        <f t="shared" si="13"/>
        <v/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3">
      <c r="J99" s="7"/>
      <c r="K99" s="8">
        <v>0</v>
      </c>
      <c r="L99" s="25">
        <v>0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 t="str">
        <f t="shared" si="12"/>
        <v/>
      </c>
      <c r="BB99" t="str">
        <f t="shared" si="13"/>
        <v/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3">
      <c r="J100" s="7"/>
      <c r="K100" s="8">
        <v>0</v>
      </c>
      <c r="L100" s="25">
        <v>0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 t="str">
        <f t="shared" si="12"/>
        <v/>
      </c>
      <c r="BB100" t="str">
        <f t="shared" si="13"/>
        <v/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3">
      <c r="J101" s="7"/>
      <c r="K101" s="8">
        <v>0</v>
      </c>
      <c r="L101" s="25">
        <v>0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 t="str">
        <f t="shared" si="12"/>
        <v/>
      </c>
      <c r="BB101" t="str">
        <f t="shared" si="13"/>
        <v/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3">
      <c r="J102" s="7"/>
      <c r="K102" s="8">
        <v>0</v>
      </c>
      <c r="L102" s="25">
        <v>0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 t="str">
        <f t="shared" si="12"/>
        <v/>
      </c>
      <c r="BB102" t="str">
        <f t="shared" si="13"/>
        <v/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3">
      <c r="J103" s="7"/>
      <c r="K103" s="8">
        <v>0</v>
      </c>
      <c r="L103" s="25">
        <v>0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 t="str">
        <f t="shared" si="12"/>
        <v/>
      </c>
      <c r="BB103" t="str">
        <f t="shared" si="13"/>
        <v/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3">
      <c r="J104" s="7"/>
      <c r="K104" s="8">
        <v>0</v>
      </c>
      <c r="L104" s="25">
        <v>0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 t="str">
        <f t="shared" si="12"/>
        <v/>
      </c>
      <c r="BB104" t="str">
        <f t="shared" si="13"/>
        <v/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3">
      <c r="J105" s="7"/>
      <c r="K105" s="8">
        <v>0</v>
      </c>
      <c r="L105" s="25">
        <v>0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 t="str">
        <f t="shared" si="12"/>
        <v/>
      </c>
      <c r="BB105" t="str">
        <f t="shared" si="13"/>
        <v/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3">
      <c r="J106" s="7"/>
      <c r="K106" s="8">
        <v>0</v>
      </c>
      <c r="L106" s="25">
        <v>0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 t="str">
        <f t="shared" si="12"/>
        <v/>
      </c>
      <c r="BB106" t="str">
        <f t="shared" si="13"/>
        <v/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3">
      <c r="J107" s="7"/>
      <c r="K107" s="8">
        <v>0</v>
      </c>
      <c r="L107" s="25">
        <v>0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 t="str">
        <f t="shared" si="12"/>
        <v/>
      </c>
      <c r="BB107" t="str">
        <f t="shared" si="13"/>
        <v/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3">
      <c r="J108" s="7"/>
      <c r="K108" s="8">
        <v>0</v>
      </c>
      <c r="L108" s="25">
        <v>0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 t="str">
        <f t="shared" si="12"/>
        <v/>
      </c>
      <c r="BB108" t="str">
        <f t="shared" si="13"/>
        <v/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3">
      <c r="J109" s="7"/>
      <c r="K109" s="8">
        <v>0</v>
      </c>
      <c r="L109" s="25">
        <v>0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 t="str">
        <f t="shared" si="12"/>
        <v/>
      </c>
      <c r="BB109" t="str">
        <f t="shared" si="13"/>
        <v/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3">
      <c r="J110" s="7"/>
      <c r="K110" s="8">
        <v>0</v>
      </c>
      <c r="L110" s="25">
        <v>0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 t="str">
        <f t="shared" si="12"/>
        <v/>
      </c>
      <c r="BB110" t="str">
        <f t="shared" si="13"/>
        <v/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3">
      <c r="J111" s="7"/>
      <c r="K111" s="8">
        <v>0</v>
      </c>
      <c r="L111" s="25">
        <v>0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 t="str">
        <f t="shared" si="12"/>
        <v/>
      </c>
      <c r="BB111" t="str">
        <f t="shared" si="13"/>
        <v/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3">
      <c r="J112" s="7"/>
      <c r="K112" s="8">
        <v>0</v>
      </c>
      <c r="L112" s="25">
        <v>0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 t="str">
        <f t="shared" si="12"/>
        <v/>
      </c>
      <c r="BB112" t="str">
        <f t="shared" si="13"/>
        <v/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3">
      <c r="J113" s="7"/>
      <c r="K113" s="8">
        <v>0</v>
      </c>
      <c r="L113" s="25">
        <v>0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 t="str">
        <f t="shared" si="12"/>
        <v/>
      </c>
      <c r="BB113" t="str">
        <f t="shared" si="13"/>
        <v/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3">
      <c r="J114" s="7"/>
      <c r="K114" s="8">
        <v>0</v>
      </c>
      <c r="L114" s="25">
        <v>0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 t="str">
        <f t="shared" si="12"/>
        <v/>
      </c>
      <c r="BB114" t="str">
        <f t="shared" si="13"/>
        <v/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3">
      <c r="J115" s="7"/>
      <c r="K115" s="8">
        <v>0</v>
      </c>
      <c r="L115" s="25">
        <v>0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 t="str">
        <f t="shared" si="12"/>
        <v/>
      </c>
      <c r="BB115" t="str">
        <f t="shared" si="13"/>
        <v/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3">
      <c r="J116" s="7"/>
      <c r="K116" s="8">
        <v>0</v>
      </c>
      <c r="L116" s="25">
        <v>0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 t="str">
        <f t="shared" si="12"/>
        <v/>
      </c>
      <c r="BB116" t="str">
        <f t="shared" si="13"/>
        <v/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3">
      <c r="J117" s="7"/>
      <c r="K117" s="8">
        <v>0</v>
      </c>
      <c r="L117" s="25">
        <v>0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 t="str">
        <f t="shared" si="12"/>
        <v/>
      </c>
      <c r="BB117" t="str">
        <f t="shared" si="13"/>
        <v/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3">
      <c r="J118" s="7"/>
      <c r="K118" s="8">
        <v>0</v>
      </c>
      <c r="L118" s="25">
        <v>0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 t="str">
        <f t="shared" si="12"/>
        <v/>
      </c>
      <c r="BB118" t="str">
        <f t="shared" si="13"/>
        <v/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3">
      <c r="J119" s="7"/>
      <c r="K119" s="8">
        <v>0</v>
      </c>
      <c r="L119" s="25">
        <v>0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 t="str">
        <f t="shared" si="12"/>
        <v/>
      </c>
      <c r="BB119" t="str">
        <f t="shared" si="13"/>
        <v/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3">
      <c r="J120" s="7"/>
      <c r="K120" s="8">
        <v>0</v>
      </c>
      <c r="L120" s="25">
        <v>0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 t="str">
        <f t="shared" si="12"/>
        <v/>
      </c>
      <c r="BB120" t="str">
        <f t="shared" si="13"/>
        <v/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3">
      <c r="J121" s="7"/>
      <c r="K121" s="8">
        <v>0</v>
      </c>
      <c r="L121" s="25">
        <v>0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 t="str">
        <f t="shared" si="12"/>
        <v/>
      </c>
      <c r="BB121" t="str">
        <f t="shared" si="13"/>
        <v/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3">
      <c r="J122" s="7"/>
      <c r="K122" s="8">
        <v>0</v>
      </c>
      <c r="L122" s="25">
        <v>0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 t="str">
        <f t="shared" si="12"/>
        <v/>
      </c>
      <c r="BB122" t="str">
        <f t="shared" si="13"/>
        <v/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3">
      <c r="J123" s="7"/>
      <c r="K123" s="8">
        <v>0</v>
      </c>
      <c r="L123" s="25">
        <v>0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 t="str">
        <f t="shared" si="12"/>
        <v/>
      </c>
      <c r="BB123" t="str">
        <f t="shared" si="13"/>
        <v/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3">
      <c r="J124" s="7"/>
      <c r="K124" s="8">
        <v>0</v>
      </c>
      <c r="L124" s="25">
        <v>0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 t="str">
        <f t="shared" si="12"/>
        <v/>
      </c>
      <c r="BB124" t="str">
        <f t="shared" si="13"/>
        <v/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3">
      <c r="J125" s="7"/>
      <c r="K125" s="8">
        <v>0</v>
      </c>
      <c r="L125" s="25">
        <v>0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 t="str">
        <f t="shared" si="12"/>
        <v/>
      </c>
      <c r="BB125" t="str">
        <f t="shared" si="13"/>
        <v/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3">
      <c r="J126" s="7"/>
      <c r="K126" s="8">
        <v>0</v>
      </c>
      <c r="L126" s="25">
        <v>0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 t="str">
        <f t="shared" si="12"/>
        <v/>
      </c>
      <c r="BB126" t="str">
        <f t="shared" si="13"/>
        <v/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3">
      <c r="J127" s="7"/>
      <c r="K127" s="8">
        <v>0</v>
      </c>
      <c r="L127" s="25">
        <v>0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 t="str">
        <f t="shared" si="12"/>
        <v/>
      </c>
      <c r="BB127" t="str">
        <f t="shared" si="13"/>
        <v/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3">
      <c r="J128" s="7"/>
      <c r="K128" s="8">
        <v>0</v>
      </c>
      <c r="L128" s="25">
        <v>0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 t="str">
        <f t="shared" si="12"/>
        <v/>
      </c>
      <c r="BB128" t="str">
        <f t="shared" si="13"/>
        <v/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3">
      <c r="J129" s="7"/>
      <c r="K129" s="8">
        <v>0</v>
      </c>
      <c r="L129" s="25">
        <v>0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 t="str">
        <f t="shared" si="12"/>
        <v/>
      </c>
      <c r="BB129" t="str">
        <f t="shared" si="13"/>
        <v/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3">
      <c r="J130" s="7"/>
      <c r="K130" s="8">
        <v>0</v>
      </c>
      <c r="L130" s="25">
        <v>0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 t="str">
        <f t="shared" si="12"/>
        <v/>
      </c>
      <c r="BB130" t="str">
        <f t="shared" si="13"/>
        <v/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3">
      <c r="J131" s="7"/>
      <c r="K131" s="8">
        <v>0</v>
      </c>
      <c r="L131" s="25">
        <v>0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 t="str">
        <f t="shared" si="12"/>
        <v/>
      </c>
      <c r="BB131" t="str">
        <f t="shared" si="13"/>
        <v/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3">
      <c r="J132" s="7"/>
      <c r="K132" s="8">
        <v>0</v>
      </c>
      <c r="L132" s="25">
        <v>0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 t="str">
        <f t="shared" si="12"/>
        <v/>
      </c>
      <c r="BB132" t="str">
        <f t="shared" si="13"/>
        <v/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3">
      <c r="J133" s="7"/>
      <c r="K133" s="8">
        <v>0</v>
      </c>
      <c r="L133" s="25">
        <v>0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 t="str">
        <f t="shared" si="12"/>
        <v/>
      </c>
      <c r="BB133" t="str">
        <f t="shared" si="13"/>
        <v/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3">
      <c r="J134" s="7"/>
      <c r="K134" s="8">
        <v>0</v>
      </c>
      <c r="L134" s="25">
        <v>0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 t="str">
        <f t="shared" si="12"/>
        <v/>
      </c>
      <c r="BB134" t="str">
        <f t="shared" si="13"/>
        <v/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3">
      <c r="J135" s="7"/>
      <c r="K135" s="8">
        <v>0</v>
      </c>
      <c r="L135" s="25">
        <v>0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 t="str">
        <f t="shared" si="12"/>
        <v/>
      </c>
      <c r="BB135" t="str">
        <f t="shared" si="13"/>
        <v/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3">
      <c r="J136" s="7"/>
      <c r="K136" s="8">
        <v>0</v>
      </c>
      <c r="L136" s="25">
        <v>0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 t="str">
        <f t="shared" si="12"/>
        <v/>
      </c>
      <c r="BB136" t="str">
        <f t="shared" si="13"/>
        <v/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3">
      <c r="J137" s="7"/>
      <c r="K137" s="8">
        <v>0</v>
      </c>
      <c r="L137" s="25">
        <v>0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 t="str">
        <f t="shared" si="12"/>
        <v/>
      </c>
      <c r="BB137" t="str">
        <f t="shared" si="13"/>
        <v/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3">
      <c r="J138" s="7"/>
      <c r="K138" s="8">
        <v>0</v>
      </c>
      <c r="L138" s="25">
        <v>0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 t="str">
        <f t="shared" si="12"/>
        <v/>
      </c>
      <c r="BB138" t="str">
        <f t="shared" si="13"/>
        <v/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3">
      <c r="J139" s="7"/>
      <c r="K139" s="8">
        <v>0</v>
      </c>
      <c r="L139" s="25">
        <v>0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 t="str">
        <f t="shared" si="12"/>
        <v/>
      </c>
      <c r="BB139" t="str">
        <f t="shared" si="13"/>
        <v/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3">
      <c r="J140" s="7"/>
      <c r="K140" s="8">
        <v>0</v>
      </c>
      <c r="L140" s="25">
        <v>0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 t="str">
        <f t="shared" si="12"/>
        <v/>
      </c>
      <c r="BB140" t="str">
        <f t="shared" si="13"/>
        <v/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3">
      <c r="J141" s="7"/>
      <c r="K141" s="8">
        <v>0</v>
      </c>
      <c r="L141" s="25">
        <v>0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 t="str">
        <f t="shared" si="12"/>
        <v/>
      </c>
      <c r="BB141" t="str">
        <f t="shared" si="13"/>
        <v/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3">
      <c r="J142" s="7"/>
      <c r="K142" s="8">
        <v>0</v>
      </c>
      <c r="L142" s="25">
        <v>0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 t="str">
        <f t="shared" si="12"/>
        <v/>
      </c>
      <c r="BB142" t="str">
        <f t="shared" si="13"/>
        <v/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3">
      <c r="J143" s="7"/>
      <c r="K143" s="8">
        <v>0</v>
      </c>
      <c r="L143" s="25">
        <v>0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 t="str">
        <f t="shared" si="12"/>
        <v/>
      </c>
      <c r="BB143" t="str">
        <f t="shared" si="13"/>
        <v/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3">
      <c r="J144" s="7"/>
      <c r="K144" s="8">
        <v>0</v>
      </c>
      <c r="L144" s="25">
        <v>0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 t="str">
        <f t="shared" si="12"/>
        <v/>
      </c>
      <c r="BB144" t="str">
        <f t="shared" si="13"/>
        <v/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3">
      <c r="J145" s="7"/>
      <c r="K145" s="8">
        <v>0</v>
      </c>
      <c r="L145" s="25">
        <v>0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 t="str">
        <f t="shared" si="12"/>
        <v/>
      </c>
      <c r="BB145" t="str">
        <f t="shared" si="13"/>
        <v/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3">
      <c r="J146" s="7"/>
      <c r="K146" s="8">
        <v>0</v>
      </c>
      <c r="L146" s="25">
        <v>0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 t="str">
        <f t="shared" si="12"/>
        <v/>
      </c>
      <c r="BB146" t="str">
        <f t="shared" si="13"/>
        <v/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3">
      <c r="J147" s="7"/>
      <c r="K147" s="8">
        <v>0</v>
      </c>
      <c r="L147" s="25">
        <v>0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 t="str">
        <f t="shared" si="12"/>
        <v/>
      </c>
      <c r="BB147" t="str">
        <f t="shared" si="13"/>
        <v/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3">
      <c r="J148" s="7"/>
      <c r="K148" s="8">
        <v>0</v>
      </c>
      <c r="L148" s="25">
        <v>0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 t="str">
        <f t="shared" si="12"/>
        <v/>
      </c>
      <c r="BB148" t="str">
        <f t="shared" si="13"/>
        <v/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3">
      <c r="J149" s="7"/>
      <c r="K149" s="8">
        <v>0</v>
      </c>
      <c r="L149" s="25">
        <v>0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 t="str">
        <f t="shared" ref="BA149:BA212" si="14">IF((K149)&lt;&gt;0,(K149),"")</f>
        <v/>
      </c>
      <c r="BB149" t="str">
        <f t="shared" ref="BB149:BD212" si="15">IF((L149)&lt;&gt;0,(L149),"")</f>
        <v/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3">
      <c r="J150" s="7"/>
      <c r="K150" s="8">
        <v>0</v>
      </c>
      <c r="L150" s="25">
        <v>0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 t="str">
        <f t="shared" si="14"/>
        <v/>
      </c>
      <c r="BB150" t="str">
        <f t="shared" si="15"/>
        <v/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3">
      <c r="J151" s="7"/>
      <c r="K151" s="8">
        <v>0</v>
      </c>
      <c r="L151" s="25">
        <v>0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 t="str">
        <f t="shared" si="14"/>
        <v/>
      </c>
      <c r="BB151" t="str">
        <f t="shared" si="15"/>
        <v/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3">
      <c r="J152" s="7"/>
      <c r="K152" s="8">
        <v>0</v>
      </c>
      <c r="L152" s="25">
        <v>0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 t="str">
        <f t="shared" si="14"/>
        <v/>
      </c>
      <c r="BB152" t="str">
        <f t="shared" si="15"/>
        <v/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3">
      <c r="J153" s="7"/>
      <c r="K153" s="8">
        <v>0</v>
      </c>
      <c r="L153" s="25">
        <v>0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 t="str">
        <f t="shared" si="14"/>
        <v/>
      </c>
      <c r="BB153" t="str">
        <f t="shared" si="15"/>
        <v/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3">
      <c r="J154" s="7"/>
      <c r="K154" s="8">
        <v>0</v>
      </c>
      <c r="L154" s="25">
        <v>0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 t="str">
        <f t="shared" si="14"/>
        <v/>
      </c>
      <c r="BB154" t="str">
        <f t="shared" si="15"/>
        <v/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3">
      <c r="J155" s="7"/>
      <c r="K155" s="8">
        <v>0</v>
      </c>
      <c r="L155" s="25">
        <v>0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 t="str">
        <f t="shared" si="14"/>
        <v/>
      </c>
      <c r="BB155" t="str">
        <f t="shared" si="15"/>
        <v/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3">
      <c r="J156" s="7"/>
      <c r="K156" s="8">
        <v>0</v>
      </c>
      <c r="L156" s="25">
        <v>0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 t="str">
        <f t="shared" si="14"/>
        <v/>
      </c>
      <c r="BB156" t="str">
        <f t="shared" si="15"/>
        <v/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3">
      <c r="J157" s="7"/>
      <c r="K157" s="8">
        <v>0</v>
      </c>
      <c r="L157" s="25">
        <v>0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 t="str">
        <f t="shared" si="14"/>
        <v/>
      </c>
      <c r="BB157" t="str">
        <f t="shared" si="15"/>
        <v/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3">
      <c r="J158" s="7"/>
      <c r="K158" s="8">
        <v>0</v>
      </c>
      <c r="L158" s="25">
        <v>0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 t="str">
        <f t="shared" si="14"/>
        <v/>
      </c>
      <c r="BB158" t="str">
        <f t="shared" si="15"/>
        <v/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3">
      <c r="J159" s="7"/>
      <c r="K159" s="8">
        <v>0</v>
      </c>
      <c r="L159" s="25">
        <v>0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 t="str">
        <f t="shared" si="14"/>
        <v/>
      </c>
      <c r="BB159" t="str">
        <f t="shared" si="15"/>
        <v/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3">
      <c r="J160" s="7"/>
      <c r="K160" s="8">
        <v>0</v>
      </c>
      <c r="L160" s="25">
        <v>0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 t="str">
        <f t="shared" si="14"/>
        <v/>
      </c>
      <c r="BB160" t="str">
        <f t="shared" si="15"/>
        <v/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3">
      <c r="J161" s="7"/>
      <c r="K161" s="8">
        <v>0</v>
      </c>
      <c r="L161" s="25">
        <v>0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 t="str">
        <f t="shared" si="14"/>
        <v/>
      </c>
      <c r="BB161" t="str">
        <f t="shared" si="15"/>
        <v/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3">
      <c r="J162" s="7"/>
      <c r="K162" s="8">
        <v>0</v>
      </c>
      <c r="L162" s="25">
        <v>0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 t="str">
        <f t="shared" si="14"/>
        <v/>
      </c>
      <c r="BB162" t="str">
        <f t="shared" si="15"/>
        <v/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3">
      <c r="J163" s="7"/>
      <c r="K163" s="8">
        <v>0</v>
      </c>
      <c r="L163" s="25">
        <v>0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 t="str">
        <f t="shared" si="14"/>
        <v/>
      </c>
      <c r="BB163" t="str">
        <f t="shared" si="15"/>
        <v/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3">
      <c r="J164" s="7"/>
      <c r="K164" s="8">
        <v>0</v>
      </c>
      <c r="L164" s="25">
        <v>0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 t="str">
        <f t="shared" si="14"/>
        <v/>
      </c>
      <c r="BB164" t="str">
        <f t="shared" si="15"/>
        <v/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3">
      <c r="J165" s="7"/>
      <c r="K165" s="8">
        <v>0</v>
      </c>
      <c r="L165" s="25">
        <v>0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 t="str">
        <f t="shared" si="14"/>
        <v/>
      </c>
      <c r="BB165" t="str">
        <f t="shared" si="15"/>
        <v/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3">
      <c r="J166" s="7"/>
      <c r="K166" s="8">
        <v>0</v>
      </c>
      <c r="L166" s="25">
        <v>0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 t="str">
        <f t="shared" si="14"/>
        <v/>
      </c>
      <c r="BB166" t="str">
        <f t="shared" si="15"/>
        <v/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3">
      <c r="J167" s="7"/>
      <c r="K167" s="8">
        <v>0</v>
      </c>
      <c r="L167" s="25">
        <v>0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 t="str">
        <f t="shared" si="14"/>
        <v/>
      </c>
      <c r="BB167" t="str">
        <f t="shared" si="15"/>
        <v/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3">
      <c r="J168" s="7"/>
      <c r="K168" s="8">
        <v>0</v>
      </c>
      <c r="L168" s="25">
        <v>0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 t="str">
        <f t="shared" si="14"/>
        <v/>
      </c>
      <c r="BB168" t="str">
        <f t="shared" si="15"/>
        <v/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3">
      <c r="J169" s="7"/>
      <c r="K169" s="8">
        <v>0</v>
      </c>
      <c r="L169" s="25">
        <v>0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 t="str">
        <f t="shared" si="14"/>
        <v/>
      </c>
      <c r="BB169" t="str">
        <f t="shared" si="15"/>
        <v/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3">
      <c r="J170" s="7"/>
      <c r="K170" s="8">
        <v>0</v>
      </c>
      <c r="L170" s="25">
        <v>0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 t="str">
        <f t="shared" si="14"/>
        <v/>
      </c>
      <c r="BB170" t="str">
        <f t="shared" si="15"/>
        <v/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3">
      <c r="J171" s="7"/>
      <c r="K171" s="8">
        <v>0</v>
      </c>
      <c r="L171" s="25">
        <v>0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 t="str">
        <f t="shared" si="14"/>
        <v/>
      </c>
      <c r="BB171" t="str">
        <f t="shared" si="15"/>
        <v/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3">
      <c r="J172" s="7"/>
      <c r="K172" s="8">
        <v>0</v>
      </c>
      <c r="L172" s="25">
        <v>0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 t="str">
        <f t="shared" si="14"/>
        <v/>
      </c>
      <c r="BB172" t="str">
        <f t="shared" si="15"/>
        <v/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3">
      <c r="J173" s="7"/>
      <c r="K173" s="8">
        <v>0</v>
      </c>
      <c r="L173" s="25">
        <v>0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 t="str">
        <f t="shared" si="14"/>
        <v/>
      </c>
      <c r="BB173" t="str">
        <f t="shared" si="15"/>
        <v/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3">
      <c r="J174" s="7"/>
      <c r="K174" s="8">
        <v>0</v>
      </c>
      <c r="L174" s="25">
        <v>0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 t="str">
        <f t="shared" si="14"/>
        <v/>
      </c>
      <c r="BB174" t="str">
        <f t="shared" si="15"/>
        <v/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3">
      <c r="J175" s="7"/>
      <c r="K175" s="8">
        <v>0</v>
      </c>
      <c r="L175" s="25">
        <v>0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 t="str">
        <f t="shared" si="14"/>
        <v/>
      </c>
      <c r="BB175" t="str">
        <f t="shared" si="15"/>
        <v/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3">
      <c r="J176" s="7"/>
      <c r="K176" s="8">
        <v>0</v>
      </c>
      <c r="L176" s="25">
        <v>0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 t="str">
        <f t="shared" si="14"/>
        <v/>
      </c>
      <c r="BB176" t="str">
        <f t="shared" si="15"/>
        <v/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3">
      <c r="J177" s="7"/>
      <c r="K177" s="8">
        <v>0</v>
      </c>
      <c r="L177" s="25">
        <v>0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 t="str">
        <f t="shared" si="14"/>
        <v/>
      </c>
      <c r="BB177" t="str">
        <f t="shared" si="15"/>
        <v/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3">
      <c r="J178" s="7"/>
      <c r="K178" s="8">
        <v>0</v>
      </c>
      <c r="L178" s="25">
        <v>0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 t="str">
        <f t="shared" si="14"/>
        <v/>
      </c>
      <c r="BB178" t="str">
        <f t="shared" si="15"/>
        <v/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3">
      <c r="J179" s="7"/>
      <c r="K179" s="8">
        <v>0</v>
      </c>
      <c r="L179" s="25">
        <v>0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 t="str">
        <f t="shared" si="14"/>
        <v/>
      </c>
      <c r="BB179" t="str">
        <f t="shared" si="15"/>
        <v/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3">
      <c r="J180" s="7"/>
      <c r="K180" s="8">
        <v>0</v>
      </c>
      <c r="L180" s="25">
        <v>0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 t="str">
        <f t="shared" si="14"/>
        <v/>
      </c>
      <c r="BB180" t="str">
        <f t="shared" si="15"/>
        <v/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3">
      <c r="J181" s="7"/>
      <c r="K181" s="8">
        <v>0</v>
      </c>
      <c r="L181" s="25">
        <v>0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 t="str">
        <f t="shared" si="14"/>
        <v/>
      </c>
      <c r="BB181" t="str">
        <f t="shared" si="15"/>
        <v/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3">
      <c r="J182" s="7"/>
      <c r="K182" s="8">
        <v>0</v>
      </c>
      <c r="L182" s="25">
        <v>0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 t="str">
        <f t="shared" si="14"/>
        <v/>
      </c>
      <c r="BB182" t="str">
        <f t="shared" si="15"/>
        <v/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3">
      <c r="J183" s="7"/>
      <c r="K183" s="8">
        <v>0</v>
      </c>
      <c r="L183" s="25">
        <v>0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 t="str">
        <f t="shared" si="14"/>
        <v/>
      </c>
      <c r="BB183" t="str">
        <f t="shared" si="15"/>
        <v/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3">
      <c r="J184" s="7"/>
      <c r="K184" s="8">
        <v>0</v>
      </c>
      <c r="L184" s="25">
        <v>0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 t="str">
        <f t="shared" si="14"/>
        <v/>
      </c>
      <c r="BB184" t="str">
        <f t="shared" si="15"/>
        <v/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3">
      <c r="J185" s="7"/>
      <c r="K185" s="8">
        <v>0</v>
      </c>
      <c r="L185" s="25">
        <v>0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 t="str">
        <f t="shared" si="14"/>
        <v/>
      </c>
      <c r="BB185" t="str">
        <f t="shared" si="15"/>
        <v/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3">
      <c r="J186" s="7"/>
      <c r="K186" s="8">
        <v>0</v>
      </c>
      <c r="L186" s="25">
        <v>0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 t="str">
        <f t="shared" si="14"/>
        <v/>
      </c>
      <c r="BB186" t="str">
        <f t="shared" si="15"/>
        <v/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3">
      <c r="J187" s="7"/>
      <c r="K187" s="8">
        <v>0</v>
      </c>
      <c r="L187" s="25">
        <v>0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 t="str">
        <f t="shared" si="14"/>
        <v/>
      </c>
      <c r="BB187" t="str">
        <f t="shared" si="15"/>
        <v/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3">
      <c r="J188" s="7"/>
      <c r="K188" s="8">
        <v>0</v>
      </c>
      <c r="L188" s="25">
        <v>0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 t="str">
        <f t="shared" si="14"/>
        <v/>
      </c>
      <c r="BB188" t="str">
        <f t="shared" si="15"/>
        <v/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3">
      <c r="J189" s="7"/>
      <c r="K189" s="8">
        <v>0</v>
      </c>
      <c r="L189" s="25">
        <v>0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 t="str">
        <f t="shared" si="14"/>
        <v/>
      </c>
      <c r="BB189" t="str">
        <f t="shared" si="15"/>
        <v/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3">
      <c r="J190" s="7"/>
      <c r="K190" s="8">
        <v>0</v>
      </c>
      <c r="L190" s="25">
        <v>0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 t="str">
        <f t="shared" si="14"/>
        <v/>
      </c>
      <c r="BB190" t="str">
        <f t="shared" si="15"/>
        <v/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3">
      <c r="J191" s="7"/>
      <c r="K191" s="8">
        <v>0</v>
      </c>
      <c r="L191" s="25">
        <v>0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 t="str">
        <f t="shared" si="14"/>
        <v/>
      </c>
      <c r="BB191" t="str">
        <f t="shared" si="15"/>
        <v/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3">
      <c r="J192" s="7"/>
      <c r="K192" s="8">
        <v>0</v>
      </c>
      <c r="L192" s="25">
        <v>0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 t="str">
        <f t="shared" si="14"/>
        <v/>
      </c>
      <c r="BB192" t="str">
        <f t="shared" si="15"/>
        <v/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3">
      <c r="J193" s="7"/>
      <c r="K193" s="8">
        <v>0</v>
      </c>
      <c r="L193" s="25">
        <v>0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 t="str">
        <f t="shared" si="14"/>
        <v/>
      </c>
      <c r="BB193" t="str">
        <f t="shared" si="15"/>
        <v/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3">
      <c r="J194" s="7"/>
      <c r="K194" s="8">
        <v>0</v>
      </c>
      <c r="L194" s="25">
        <v>0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 t="str">
        <f t="shared" si="14"/>
        <v/>
      </c>
      <c r="BB194" t="str">
        <f t="shared" si="15"/>
        <v/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3">
      <c r="J195" s="7"/>
      <c r="K195" s="8">
        <v>0</v>
      </c>
      <c r="L195" s="25">
        <v>0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 t="str">
        <f t="shared" si="14"/>
        <v/>
      </c>
      <c r="BB195" t="str">
        <f t="shared" si="15"/>
        <v/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3">
      <c r="J196" s="7"/>
      <c r="K196" s="8">
        <v>0</v>
      </c>
      <c r="L196" s="25">
        <v>0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 t="str">
        <f t="shared" si="14"/>
        <v/>
      </c>
      <c r="BB196" t="str">
        <f t="shared" si="15"/>
        <v/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3">
      <c r="J197" s="7"/>
      <c r="K197" s="8">
        <v>0</v>
      </c>
      <c r="L197" s="25">
        <v>0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 t="str">
        <f t="shared" si="14"/>
        <v/>
      </c>
      <c r="BB197" t="str">
        <f t="shared" si="15"/>
        <v/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3">
      <c r="J198" s="7"/>
      <c r="K198" s="8">
        <v>0</v>
      </c>
      <c r="L198" s="25">
        <v>0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 t="str">
        <f t="shared" si="14"/>
        <v/>
      </c>
      <c r="BB198" t="str">
        <f t="shared" si="15"/>
        <v/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3">
      <c r="J199" s="7"/>
      <c r="K199" s="8">
        <v>0</v>
      </c>
      <c r="L199" s="25">
        <v>0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 t="str">
        <f t="shared" si="14"/>
        <v/>
      </c>
      <c r="BB199" t="str">
        <f t="shared" si="15"/>
        <v/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3">
      <c r="J200" s="7"/>
      <c r="K200" s="8">
        <v>0</v>
      </c>
      <c r="L200" s="25">
        <v>0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 t="str">
        <f t="shared" si="14"/>
        <v/>
      </c>
      <c r="BB200" t="str">
        <f t="shared" si="15"/>
        <v/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3">
      <c r="J201" s="7"/>
      <c r="K201" s="8">
        <v>0</v>
      </c>
      <c r="L201" s="25">
        <v>0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 t="str">
        <f t="shared" si="14"/>
        <v/>
      </c>
      <c r="BB201" t="str">
        <f t="shared" si="15"/>
        <v/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3">
      <c r="J202" s="7"/>
      <c r="K202" s="8">
        <v>0</v>
      </c>
      <c r="L202" s="25">
        <v>0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 t="str">
        <f t="shared" si="14"/>
        <v/>
      </c>
      <c r="BB202" t="str">
        <f t="shared" si="15"/>
        <v/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3">
      <c r="J203" s="7"/>
      <c r="K203" s="8">
        <v>0</v>
      </c>
      <c r="L203" s="25">
        <v>0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 t="str">
        <f t="shared" si="14"/>
        <v/>
      </c>
      <c r="BB203" t="str">
        <f t="shared" si="15"/>
        <v/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3">
      <c r="J204" s="7"/>
      <c r="K204" s="8">
        <v>0</v>
      </c>
      <c r="L204" s="25">
        <v>0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 t="str">
        <f t="shared" si="14"/>
        <v/>
      </c>
      <c r="BB204" t="str">
        <f t="shared" si="15"/>
        <v/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3">
      <c r="J205" s="7"/>
      <c r="K205" s="8">
        <v>0</v>
      </c>
      <c r="L205" s="25">
        <v>0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 t="str">
        <f t="shared" si="14"/>
        <v/>
      </c>
      <c r="BB205" t="str">
        <f t="shared" si="15"/>
        <v/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3">
      <c r="J206" s="7"/>
      <c r="K206" s="8">
        <v>0</v>
      </c>
      <c r="L206" s="25">
        <v>0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 t="str">
        <f t="shared" si="14"/>
        <v/>
      </c>
      <c r="BB206" t="str">
        <f t="shared" si="15"/>
        <v/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3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3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3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3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3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3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3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3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3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3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3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3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3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3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3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3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3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3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3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3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3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3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3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3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3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3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3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3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3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3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3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3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3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3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3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3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3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3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3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3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3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3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3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3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3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3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3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3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3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3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3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3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3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3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3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3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3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3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3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3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3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3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3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3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3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3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3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3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3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3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3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3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3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3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3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3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3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3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3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3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3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3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3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3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3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3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3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3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3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3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3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3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3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3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3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3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3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3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3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3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3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3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3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3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3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3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3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3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3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3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3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3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3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3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3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3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3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3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3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3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3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3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3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3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3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3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3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3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3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3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3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3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3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3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3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3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3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3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3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3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3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3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3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3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3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3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3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3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3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3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3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3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3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3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3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3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3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3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3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3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3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3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3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3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3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3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3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3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3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3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3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3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3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3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3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3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3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3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3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3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3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3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3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3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3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3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3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3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3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3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3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3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3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3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3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3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3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3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3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3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3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3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3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3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3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3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3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3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3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3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3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3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3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3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3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3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3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3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3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3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3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3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3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3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3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3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3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3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3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3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3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3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3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3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3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3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3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3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3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3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3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3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3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3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3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3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3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3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3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3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3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3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3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3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3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3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3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3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3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3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3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3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3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3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3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3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3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3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3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3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3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3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3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3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3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3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3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3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3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3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3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3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3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3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3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3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3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3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3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3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3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3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3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3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3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3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3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3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3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3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3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3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3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3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3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3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3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3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3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3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3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3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3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3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3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3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3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3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3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3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3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3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3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3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3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3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3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3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3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3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3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3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3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3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3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3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3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3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3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3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3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3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3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3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3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3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3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3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3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3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3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3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3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3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3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3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3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3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3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3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3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3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3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3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3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3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3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3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3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3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3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3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3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3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3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3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3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3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3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3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3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3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3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3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3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3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3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3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3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3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3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3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3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3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3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3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3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3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3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3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3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3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3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3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3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3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3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3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3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3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3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3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3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3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3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3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3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3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3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3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3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3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3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3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3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3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3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3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3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3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3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3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3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3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3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3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3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3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3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3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3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3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3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3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3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3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3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3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3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3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3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3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3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3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3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3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3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3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3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3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3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3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3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3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3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3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3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3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3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3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3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3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3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3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3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3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3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3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3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3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3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3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3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3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3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3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3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3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3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3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3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3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3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3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3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3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3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3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3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3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3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3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3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3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3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3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3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3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3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3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3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3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3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3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3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3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3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3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3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3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3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3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3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3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3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3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3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3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3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3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3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3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3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3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3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3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3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3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3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3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3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3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3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3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3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3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3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3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3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3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3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3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3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3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3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3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3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3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3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3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3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3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3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3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3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3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3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3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3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3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3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3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3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3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3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3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3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3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3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3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3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3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3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3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3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3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3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3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3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3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3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3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3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3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3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3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3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3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3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3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3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3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3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3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3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3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3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3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3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3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3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3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3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3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3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3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3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3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3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3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3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3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3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3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3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3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3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3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3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3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3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3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3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3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3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3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3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3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3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3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3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3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3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3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3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3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3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3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3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3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3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3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3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3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3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3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3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3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3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3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3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3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3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3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3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3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3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3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3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3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3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3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3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3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3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3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3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3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3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3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3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3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3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3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3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3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3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3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3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3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3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3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3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3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3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3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3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3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3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3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3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3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3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3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3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3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3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3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3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3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3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3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3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3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3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3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3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3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3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3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3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3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3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3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3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3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3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3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3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3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3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3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3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3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3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3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3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3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3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3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3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3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3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3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3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3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3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3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3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3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3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3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3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3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3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3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3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3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3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3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3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3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3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3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3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3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3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3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3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3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3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3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3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3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3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3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3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3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3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3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3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3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3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3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3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3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3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3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3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3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3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3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3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3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3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3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3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3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3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3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3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3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3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3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3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3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3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3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3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3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3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3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3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3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3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3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3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3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3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3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3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3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3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3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3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3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3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3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3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3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3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3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3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3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3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3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3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3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3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3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3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3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3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3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3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3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3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3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3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3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3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3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3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3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3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3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3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3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3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3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3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3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3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3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3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3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3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3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3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3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3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3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3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3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3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3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3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3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3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3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3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3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3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3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3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3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3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3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3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3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3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3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3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3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3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3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3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3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3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3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3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3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3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3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3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3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3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3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3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3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3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3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3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3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3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3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3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3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3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3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3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3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3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3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3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3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3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3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3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3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3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3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3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3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3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3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3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3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3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3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3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3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3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3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3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3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3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3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3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3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3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3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3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3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3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3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3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3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3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3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3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3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3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3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3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3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3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3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3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3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3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3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3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3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3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3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3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3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3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3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3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3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3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3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3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3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3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3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3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3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3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3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3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3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3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3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3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3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3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3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3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3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3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3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3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3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3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3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3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3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3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3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3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3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3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3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3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3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3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3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3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3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3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3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3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3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3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3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3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3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3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3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3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3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3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3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3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3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3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3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3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3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3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3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3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3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3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3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3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3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3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3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3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3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3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3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3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3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3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3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3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3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3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3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3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3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3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3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3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3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3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3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3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3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3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3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3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3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3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3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3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3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3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3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3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3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3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3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3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3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3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3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3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3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3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3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3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3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3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3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3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3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3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3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3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3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3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3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3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3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3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3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3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3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3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3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3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3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3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3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3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3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3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3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3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3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3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3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3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3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3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3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3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3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3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3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3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3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3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3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3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3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3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3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3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3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3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3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3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3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3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3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3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3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3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3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3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3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3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3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3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3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3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3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3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3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3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3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3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3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3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3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3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3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3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3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3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3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3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3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3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3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3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3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3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3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3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3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3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3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3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3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3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3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3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3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3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3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3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3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3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3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3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3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3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3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3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3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3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3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3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3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3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3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3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3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3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3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3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3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3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3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3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3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3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3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3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3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3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3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3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3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3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3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3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3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3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3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3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3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3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3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3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3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3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3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3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3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3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3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3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3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3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3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3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3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3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3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3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3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3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3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3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3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3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3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3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3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3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3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3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3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3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3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3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3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3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3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3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3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3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3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3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3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3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3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3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3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3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3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3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3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3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3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3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3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3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3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3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3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3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3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3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3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3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3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3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3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3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3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3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3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3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3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3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3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3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3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3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3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3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3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3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3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3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3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3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3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3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3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3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3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3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3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3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3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3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3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3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3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3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3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3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3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3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3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3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3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3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3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3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3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3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3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3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3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3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3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3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3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3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3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3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3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3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3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3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3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3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3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3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3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3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3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3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3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3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3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3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3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3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3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3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3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3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3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3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3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3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3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3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3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3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3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3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3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3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3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3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3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3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3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3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3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3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3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3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3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3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3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3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3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3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3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3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3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3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3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3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3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3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3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3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3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3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3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3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3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3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3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3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3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3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3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3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3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3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3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3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3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3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3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3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3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3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3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3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3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3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3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3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3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3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3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3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3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3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3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3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3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3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3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3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3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3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3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3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3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3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3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3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3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3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3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3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3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3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3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3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3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3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3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3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3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3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3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3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3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3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3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3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3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3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3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3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3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3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3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3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3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3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3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3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3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3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3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3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3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3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3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3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3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3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3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3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3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3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3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3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3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3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3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3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3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3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3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3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3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3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3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3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3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3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3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3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3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3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3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3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3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3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3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3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3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3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3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3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3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3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3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3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3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3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3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3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3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3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3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3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3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3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3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3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3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3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3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3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3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3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3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3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3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3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3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3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3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3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3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3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3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3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3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3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3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3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3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3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3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3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3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3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3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3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3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3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3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3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3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3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3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3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3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3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3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3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3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3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3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3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3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3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3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3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3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3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3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3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3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3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3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3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3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3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3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3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3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3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3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3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3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3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3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3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3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3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3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3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3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3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3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3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3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3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3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3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3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3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3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3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3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3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3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3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3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3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3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3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3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3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3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3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3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3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3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3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3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3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3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3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3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3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3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3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3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3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3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3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3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3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3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3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3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3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3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3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3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3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3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3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3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3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3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3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3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3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3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3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3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3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3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3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3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3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3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3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3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3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3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3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3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3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3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3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3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3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3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3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3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3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3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3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3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3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3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3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3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3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3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3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3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3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3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3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3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3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3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3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3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3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3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3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3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3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3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3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3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3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3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3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3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3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3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3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3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3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3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3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3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3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3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3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3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3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3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3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3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3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3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3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3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3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3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3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3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3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3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3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3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3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3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3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3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3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3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3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3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3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3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3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3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3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3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3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3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3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3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3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3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3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3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3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3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3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3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3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3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3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3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3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3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3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3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3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3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3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3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3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3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3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3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3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3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3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3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3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3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3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3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3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3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3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3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3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3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3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3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3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3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3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3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3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3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3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3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3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3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3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3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3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3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3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3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3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3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3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3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3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3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3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3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3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3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3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3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3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3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3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3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3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3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3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3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3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3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3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3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3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3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3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3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3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3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3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3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3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3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3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3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3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3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3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3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3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3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3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3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3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3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3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3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3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3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3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3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3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3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3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3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3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3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3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3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3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3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3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3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3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3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3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3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3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3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3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3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3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3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3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3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3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3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3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3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3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3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3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3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3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3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3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3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3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3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3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3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3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3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3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3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3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3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3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3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3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3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3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3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3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3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3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3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3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3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3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3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3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3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3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3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3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3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3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3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3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3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3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3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3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3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3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3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3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3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3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3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3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3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3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3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3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3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3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3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3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3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3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3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3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3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3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3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3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3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3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3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3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3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3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3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3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3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3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3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3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3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3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3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3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3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3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3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3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3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3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3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3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3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3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3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3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3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3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3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3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3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3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3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3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3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3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3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3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3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3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3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3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3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3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3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3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3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3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3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3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3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3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3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3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3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3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3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3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3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3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3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3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3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3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3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3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3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3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3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3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3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3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3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3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3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3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3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3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3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3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3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3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3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3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3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3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3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3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3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3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3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3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3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3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3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3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3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3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3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3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3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3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3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3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3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3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3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3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3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3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3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3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3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3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3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3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3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3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3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3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3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3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3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3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3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3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3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3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3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3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3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3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3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3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3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3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3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3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3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3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3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3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3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3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3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3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3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3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3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3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3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3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3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3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3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3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3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3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3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3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3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3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3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3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3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3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3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3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3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3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3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3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3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3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3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3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3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3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3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3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3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3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3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3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3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3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3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3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3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3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3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3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3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3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3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3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3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3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3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3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3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3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3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3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3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3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3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3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3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3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3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3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3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3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3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3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3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3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3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3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3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3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3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3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3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3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3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3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3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3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3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3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3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3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3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3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3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3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3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3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3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3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3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3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3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3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3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3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3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3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3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3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3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3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3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3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3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3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3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3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3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3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3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3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3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3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3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3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3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3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3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3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3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3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3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3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3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3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3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3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3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3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3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3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3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3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3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3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3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3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3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3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3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3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3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3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3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3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3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3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3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3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3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3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3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3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3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3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3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3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3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3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3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3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3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3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3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3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3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3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3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3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3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3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3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3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3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3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3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3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3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3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3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3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3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3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3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3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3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3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3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3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3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3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3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3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3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3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3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3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3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3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3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3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3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3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3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3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3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3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3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3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3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3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3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3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3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3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3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3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3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3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3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3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3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3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3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3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3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3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3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3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3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3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3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3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3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3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3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3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3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3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3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3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3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3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3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3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3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3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3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3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3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3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3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3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3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3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3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3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3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3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3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3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3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3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3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3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3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3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3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3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3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3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3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3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3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3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3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3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3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3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3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3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3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3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3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3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3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3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3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3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3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3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3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3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3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3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3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3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3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3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3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3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3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3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3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3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3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3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3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3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3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3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3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3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3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3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3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3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3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3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3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3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3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3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3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3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3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3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3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3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3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3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3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3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3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3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3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3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3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3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3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3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3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3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3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3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3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3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3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3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3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3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3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3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3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3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3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3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3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3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3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3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3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3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3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3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3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3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3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3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3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3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3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3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3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3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3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3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3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3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3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3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3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3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3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3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3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3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3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3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3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3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3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3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3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3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3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3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3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3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3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3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3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3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3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3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3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3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3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3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3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3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3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3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3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3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3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3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3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3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3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3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3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3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3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3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3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3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3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3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3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3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3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3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3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3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3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3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3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3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3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3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3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3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3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3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3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3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3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3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3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3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3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3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3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3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3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3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3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3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3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3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3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3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3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3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3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3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3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3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3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3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3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3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3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3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3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3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3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3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3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3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3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3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3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3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3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3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3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3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3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3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3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3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3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3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3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3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3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3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3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3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3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3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3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3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3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3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3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3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3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3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3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3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3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3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3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3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3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3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3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3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3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3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3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3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3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3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3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3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3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3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3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3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3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3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3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3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3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3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3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3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3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3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3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3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3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3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3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3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3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3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3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3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3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3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3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3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3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3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3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3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3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3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3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3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3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3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3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3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3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3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3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3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3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3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3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3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3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3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3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3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3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3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3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3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3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3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3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3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3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3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3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3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3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3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3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3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3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3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3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3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3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3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3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3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3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3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3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3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3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3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3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3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3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3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3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3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3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3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3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3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3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3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3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3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3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3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3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3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3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3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3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3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3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3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3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3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3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3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3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3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3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3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3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3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3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3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3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3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3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3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3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3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3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3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3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3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3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3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3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3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3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3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3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3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3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3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3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3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3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3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3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3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3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3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3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3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3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3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3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3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3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3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3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3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3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3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3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3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3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3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3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3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3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3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3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3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3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3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3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3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3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3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3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3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3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3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3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3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3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3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3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3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3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3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3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3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3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3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3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3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3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3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3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3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3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3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3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3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3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3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3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3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3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3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3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3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3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3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3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3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3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3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3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3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3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3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3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3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3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3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3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3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3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3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3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3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3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3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3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3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3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3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3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3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3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3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3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3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3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3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3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3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3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3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3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3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3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3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3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3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3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3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3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3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3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3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3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3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3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3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3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3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3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3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3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3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3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3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3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3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3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3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3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3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3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3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3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3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3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3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3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3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3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3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3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3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3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3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3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3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3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3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3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3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3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3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3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3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3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3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3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3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3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3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3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3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3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3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3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3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3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3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3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3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3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3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3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3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3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3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3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3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3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3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3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3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3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3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3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3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3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3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3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3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3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3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3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3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3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3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3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3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3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3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3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3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3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3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3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3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3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3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3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3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3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3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3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3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3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3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3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3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3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3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3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3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3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3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3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3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3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3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3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3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3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3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3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3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3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3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3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3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3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3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3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3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3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3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3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3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3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3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3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3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3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3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3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3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3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3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3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3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3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3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3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3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3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3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3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3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3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3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3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3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3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3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3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3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3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3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3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3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3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3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3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3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3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3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3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3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3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3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3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3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3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3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3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3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3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3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3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3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3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3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3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3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3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3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3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3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3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3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3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3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3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3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3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3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3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3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3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3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3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3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3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3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3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3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3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3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3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3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3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3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3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3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3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3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3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3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3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3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3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3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3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3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3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3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3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3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3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3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3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3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3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3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3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3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3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3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3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3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3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3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3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3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3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3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3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3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3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3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3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3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3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3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3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3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3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3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3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3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3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3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3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3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3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3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3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3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3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3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3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3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3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3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3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3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3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3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3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3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3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3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3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3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3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3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3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3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3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3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3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3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3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3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3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3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3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3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3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3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3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3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3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3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3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3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3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3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3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3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3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3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3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3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3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3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3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3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3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3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3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3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3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3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3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3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3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3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3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3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3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3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3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3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3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3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3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3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3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3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3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3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3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3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3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3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3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3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3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3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3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3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3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3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3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3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3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3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3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3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3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3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3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3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3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3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3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3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3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3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3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3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3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3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3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3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3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3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3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3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3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3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3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3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3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3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3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3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3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3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3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3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3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3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3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3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3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3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3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3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3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3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3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3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3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3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3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3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3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3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3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3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3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3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3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3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3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3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3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3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3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3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3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3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3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3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3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3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3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3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3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3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3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3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3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3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3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3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3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3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3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3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3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3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3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3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3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3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3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3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3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3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3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3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3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3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3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3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3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3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3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3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3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3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3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3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3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3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3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3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3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3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3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3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3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3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3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3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3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3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3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3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3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3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3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3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3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3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3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3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3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3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3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3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3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3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3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3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3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3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3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3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3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3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3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3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3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3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3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3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3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3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3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3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3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3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3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3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3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3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3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3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3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3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3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3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3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3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3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3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3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3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3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3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3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3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3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3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3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3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3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3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3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3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3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3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3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3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3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3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3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3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3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3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3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3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3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3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3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3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3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3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3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3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3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3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3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3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3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3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3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3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3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3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3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3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3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3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3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3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3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3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3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3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3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3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3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3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3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3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3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3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3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3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3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3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3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3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3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3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3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3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3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3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3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3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3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3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3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3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3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3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3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3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3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3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3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3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3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3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3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3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3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3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3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3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3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3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3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3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3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3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3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3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3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3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3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3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3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3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3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3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3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3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3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3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3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3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3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3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3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3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3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3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3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3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3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3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3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3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3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3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3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3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3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3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3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3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3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3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3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3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3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3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3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3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3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3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3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3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3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3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3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3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3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3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3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3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3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3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3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3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3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3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3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3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3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3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3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3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3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3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3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3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3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3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3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3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3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3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3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3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3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3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3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3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3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3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3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3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3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3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3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3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3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3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3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3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3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3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3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3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3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3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3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3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3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3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3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3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3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3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3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3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3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3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3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3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3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3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3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3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3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3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3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3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3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3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3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3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3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3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3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3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3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3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3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3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3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3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3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3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3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3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3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3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3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3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3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3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3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3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3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3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3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3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3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3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3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3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3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3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3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3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3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3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3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3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3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3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3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3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3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3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3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3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3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3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3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3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3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3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3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3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3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3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3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3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3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3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3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3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3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3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3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3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3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3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3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3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3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3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3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3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3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3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3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3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3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3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3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3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3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3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3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3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3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3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3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3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3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3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3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3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3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3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3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3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3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3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3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3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3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3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3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3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3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3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3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3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3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3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3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3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3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3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3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3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3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3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3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3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3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3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3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3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3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3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3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3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3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3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3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3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3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3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3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3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3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3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3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3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3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3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3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3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3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3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3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3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3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3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3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3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3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3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3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3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3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3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3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3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3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3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3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3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3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3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3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3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3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3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3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3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3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3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3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3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3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3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3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3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3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3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3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3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3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3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3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3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3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3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3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3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3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3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3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3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3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3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3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3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3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3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3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3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3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3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3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3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3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3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3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3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3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3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3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3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3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3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3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3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3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3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3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3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3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3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3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3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3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3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3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3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3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3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3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3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3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3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3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3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3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3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3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3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3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3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3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3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3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3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3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3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3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3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3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3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3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3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3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3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3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3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3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3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3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3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3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3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3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3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3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3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3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3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3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3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3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3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3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3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3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3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3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3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3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3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3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3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3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3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3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3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3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3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3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3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3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3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3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3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3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3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3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3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3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3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3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3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3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3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3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3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3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3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3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3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3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3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3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3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3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3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3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3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3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3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3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3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3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3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3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3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3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3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3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3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3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3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3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3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3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3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3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3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3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3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3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3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3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3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3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3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3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3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3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3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3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3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3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3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3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3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3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3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3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3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3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3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3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3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3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3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3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3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3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3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3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3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3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3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3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3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3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3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3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3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3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3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3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3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3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3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3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3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3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3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3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3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3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3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3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3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3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3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3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3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3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3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3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3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3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3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3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3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3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3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3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3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3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3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3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3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3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3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3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3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3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3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3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3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3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3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3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3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3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3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3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3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3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3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3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3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3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3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3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3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3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3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3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3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3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3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3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3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3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3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3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3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3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3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3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3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3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3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3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3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3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3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3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3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3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3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3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3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3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3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3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3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3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3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3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3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3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3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3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3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3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3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3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3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3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3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3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3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3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3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3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3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3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3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3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3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3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3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3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3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3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3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3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3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3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3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3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3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3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3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3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3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3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3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3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3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3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3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3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3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3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3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3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3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3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3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3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3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3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3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3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3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3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3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3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3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3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3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3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3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3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3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3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3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3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3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3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3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3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3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3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3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3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3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3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3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3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3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3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3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3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3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3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3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3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3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3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3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3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3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3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3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3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3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3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3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3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3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3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3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3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3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3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3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3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3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3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3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3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3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3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3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3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3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3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3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3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3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3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3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3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3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3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3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3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3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3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3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3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3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3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3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3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3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3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3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3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3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3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3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3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3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3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3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3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3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3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3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3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3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3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3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3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3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3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3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3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3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3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3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3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3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3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3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3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3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3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3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3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3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3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3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3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3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3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3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3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3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3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3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3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3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3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3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3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3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3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3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3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3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3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3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3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3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3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3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3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3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3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3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3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3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3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3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3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3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3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3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3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3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3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3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3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3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3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3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3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3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3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3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3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3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3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3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3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3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3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3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3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3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3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3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3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3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3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3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3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3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3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3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3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3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3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3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3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3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3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3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3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3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3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3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3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3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3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3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3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3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3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3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3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3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3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3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3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3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3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3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3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3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3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3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3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3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3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3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3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3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3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3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3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3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3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3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3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3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3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3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3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3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3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3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3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3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3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3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3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3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3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3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3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3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3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3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3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3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3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3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3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3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3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3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3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3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3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3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3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3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3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3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3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3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3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3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3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3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3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3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3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3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3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3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3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3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3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3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3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3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3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3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3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3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3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3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3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3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3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3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3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3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3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3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3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3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3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3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3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3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3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3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3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3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3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3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3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3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3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3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3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3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3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3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3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3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3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3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3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3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3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3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3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3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3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3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3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3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3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3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3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3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3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3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3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3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3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3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3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3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3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3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3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3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3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3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3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3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3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3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3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3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3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3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3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3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3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3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3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3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3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3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3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3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3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3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3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3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3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3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3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3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3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3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3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3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3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3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3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3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3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3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3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3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3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3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3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3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3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3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3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3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3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3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3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3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3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3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3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3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3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3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3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3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3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3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3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3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3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3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3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3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3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3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3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3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3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3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3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3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3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3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3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3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3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3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3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3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3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3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3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3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3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3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3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3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3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3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3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3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3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3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3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3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3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3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3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3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3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3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3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3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3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3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3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3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3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3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3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3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3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3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3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3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3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3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3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3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3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3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3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3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3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3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3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3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3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3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3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3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3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3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3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3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3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3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3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3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3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3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3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3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3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3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3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3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3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3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3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3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3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3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3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3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3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3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3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3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3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3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3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3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3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3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3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3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3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3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3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3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3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3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3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3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3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3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3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3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3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3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3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3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3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3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3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3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3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3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3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3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3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3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3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3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3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3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3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3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3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3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3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3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3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3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3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3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3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3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3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3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3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3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3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3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3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3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3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3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3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3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3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3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3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3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3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3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3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3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3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3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3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3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3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3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3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3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3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3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3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3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3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3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3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3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3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3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3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3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3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3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3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3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3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3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3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3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3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3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3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3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3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3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3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3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3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3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3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3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3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3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3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3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3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3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3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3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3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3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3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3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3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3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3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3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3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3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3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3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3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3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3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3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3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3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3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3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3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3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3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3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3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3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3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3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3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3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3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3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3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3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3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3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3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3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3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3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3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3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3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3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3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3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3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3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3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3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3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3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3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3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3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3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3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3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3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3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3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3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3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3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3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3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3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3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3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3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3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3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3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3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3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3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3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3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3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3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3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3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3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3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3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3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3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3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3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3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3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3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3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3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3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3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3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3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3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3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3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3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3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3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3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3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3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3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3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3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3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3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3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3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3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3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3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3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3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3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3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3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3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3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3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3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3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3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3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3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3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3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3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3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3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3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3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3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3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3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3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3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3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3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3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3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3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3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3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3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3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3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3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3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3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3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3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3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3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3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3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3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3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3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3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3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3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3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3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3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3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3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3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3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3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3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3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3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3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3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3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3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3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3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3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3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3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3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3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3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3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3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3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3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3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3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3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3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3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3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3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3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3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3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3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3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3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3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3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3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3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3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3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3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3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3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3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3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3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3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3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3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3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3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3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3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3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3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3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3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3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3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3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3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3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3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3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3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3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3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3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3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3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3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3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3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3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3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3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3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3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3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3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3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3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3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3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3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3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3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3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3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3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3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3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3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3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3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3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3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3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3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3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3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3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3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3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3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3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3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3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3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3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3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3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3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3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3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3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3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3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3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3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3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3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3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3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3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3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3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3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3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3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3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3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3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3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3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3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3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3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3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3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3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3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3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3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3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3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3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3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3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3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3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3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3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3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3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3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3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3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3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3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3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3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3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3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3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3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3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3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3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3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3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3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3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3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3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3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3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3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3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3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3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3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3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3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3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3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3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3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3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3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3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3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3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3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3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3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3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3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3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3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3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3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3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3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3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3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3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3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3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3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3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3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3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3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3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3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3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3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3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3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3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3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3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3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3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3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3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3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3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3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3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3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3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3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3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3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3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3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3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3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3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3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3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3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3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3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3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3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3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3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3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3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3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3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3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3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3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3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3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3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3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3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3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3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3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3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3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3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3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3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3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3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3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3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3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3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3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3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3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3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3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3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3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3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3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3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3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3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3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3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3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3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3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3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3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3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3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3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3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3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3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3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3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3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3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3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3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3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3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3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3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3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3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3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3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3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3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3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3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3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3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3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3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3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3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3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3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3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3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3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3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3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3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3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3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3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3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3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3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3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3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3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3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3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3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3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3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3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3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3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3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3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3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3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3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3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3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3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3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3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3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3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3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3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3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3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3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3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3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3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3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3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3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3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3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3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3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3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3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3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3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3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3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3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3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3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3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3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3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3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3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3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3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3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3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3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3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3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3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3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3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3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3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3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3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3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3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3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3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3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3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3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3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3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3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3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3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3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3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3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3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3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3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3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3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3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3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3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3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3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3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3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3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3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3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3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3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3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3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3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3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3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3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3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3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3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3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3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3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3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3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3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3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3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3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3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3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3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3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3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3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3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3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3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3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3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3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3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3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3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3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3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3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3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3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3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3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3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3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3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3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3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3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3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3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3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3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3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3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3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3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3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3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3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3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3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3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3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3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3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3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3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3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3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3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3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3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3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3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3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3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3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3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3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3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3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3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3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3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3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3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3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3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3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3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3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3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3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3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3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3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3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3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3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3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3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3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3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3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3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3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3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3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3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3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3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3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3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3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3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3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3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3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3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3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3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3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3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3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3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3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3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3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3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3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3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3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3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3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3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3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3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3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3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3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3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3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3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3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3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3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3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3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3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3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3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3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3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3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3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3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3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3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3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3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3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3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3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3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3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3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3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3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3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3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3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3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3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3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3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3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3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3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3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3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3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3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3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3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3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3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3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3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3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3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3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3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3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3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3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3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3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3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3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3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3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3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3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3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3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3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3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3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3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3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3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3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3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3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3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3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3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3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3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3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3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3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3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3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3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3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3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3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3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3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3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3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3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3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3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3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3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3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3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3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3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3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3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3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3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3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3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3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3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3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3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3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3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3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3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3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3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3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3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3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3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3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3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3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3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3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3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3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3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3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3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3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3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3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3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3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3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3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3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3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3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3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3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3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3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3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3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3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3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3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3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3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3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3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3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3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3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3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3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3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3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3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3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3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3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3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3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3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3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3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3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3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3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3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3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3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3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3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3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3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3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3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3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3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3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3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3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3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3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3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3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3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3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3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3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3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3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3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3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3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3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3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3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3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3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3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3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3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3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3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3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3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3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3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3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3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3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3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3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3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3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3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3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3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3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3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3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3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3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3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3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3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3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3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3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3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3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3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3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3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3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3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3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3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3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3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3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3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3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3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3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3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3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3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3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3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3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3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3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3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3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3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3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3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3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3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3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3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3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3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3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3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3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3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3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3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3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3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3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3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3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3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3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3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3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3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3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3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3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3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3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3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3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3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3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3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3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3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3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3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3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3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3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3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3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3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3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3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3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3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3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3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3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3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3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3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3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3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3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3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3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3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3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3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3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3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3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3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3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3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3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3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3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3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3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3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3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3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3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3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3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3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3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3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3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3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3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3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3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3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3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3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3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3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3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3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3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3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3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3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3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3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3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3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3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3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3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3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3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3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3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3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3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3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3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3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3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3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3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3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3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3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3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3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3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3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3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3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3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3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3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3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3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3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3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3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3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3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3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3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3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3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3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3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3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3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3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3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3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3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3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3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3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3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3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3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3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3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3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3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3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3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3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3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3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3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3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3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3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3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3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3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3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3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3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3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3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3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3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3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3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3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3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3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3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3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3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3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3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3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3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3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3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3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3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3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3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3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3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3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3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3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3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3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3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3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3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3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3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3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3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3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3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3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3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3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3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3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3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3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3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3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3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3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3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3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3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3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3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3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3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3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3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3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3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3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3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3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3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3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3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3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3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3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3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3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3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3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3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3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3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3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3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3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3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3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3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3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3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3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3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3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3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3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3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3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3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3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3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3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3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3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3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3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3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3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3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3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3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3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3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3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3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3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3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3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3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3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3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3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3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3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3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3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3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3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3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3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3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3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3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3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3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3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3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3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3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3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3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3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3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3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3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3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3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3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3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3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3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3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3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3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3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3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3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3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3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3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3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3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3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3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3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3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3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3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3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3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3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3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3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3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3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3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3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3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3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3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3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3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3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3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3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3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3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3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3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3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3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3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3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3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3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3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3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3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3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3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3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3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3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3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3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3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3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3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3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3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3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3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3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3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3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3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3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3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3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3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3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3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3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3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3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3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3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3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3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3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3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3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3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3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3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3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3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3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3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3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3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3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3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3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3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3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3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3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3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3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3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3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3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3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3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3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3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3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3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3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3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3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3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3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3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3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3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3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3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3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3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3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3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3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3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3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3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3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3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3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3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3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3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3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3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3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3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3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3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3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3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3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3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3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3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3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3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3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3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3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3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3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3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3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3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3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3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3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3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3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3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3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3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3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3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3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3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3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3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3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3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3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3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3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3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3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3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3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3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3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3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3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3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3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3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3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3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3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3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3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3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3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3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3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3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3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3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3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3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3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3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3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3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3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3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3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3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3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3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3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3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3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3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3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3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3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3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3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3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3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3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3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3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3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3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3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3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3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3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3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3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3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3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3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3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3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3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3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3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3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3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3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3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3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3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3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3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3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3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3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3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3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3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3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3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3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3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3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3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3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3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3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3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3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3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3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3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3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3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3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3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3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3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3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3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3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3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3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3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3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3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3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3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3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3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3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3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3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3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3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3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3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3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3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3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3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3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3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3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3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3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3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3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3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3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3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3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3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3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3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3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3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3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3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3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3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3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3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3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3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3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3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3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3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3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3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3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3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3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3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3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3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3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3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3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3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3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3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3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3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3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3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3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3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3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3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3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3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3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3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3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3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3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3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3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3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3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3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3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3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3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3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3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3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3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3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3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3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3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3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3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3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3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3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3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3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3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3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3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3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3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3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3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3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3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3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3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3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3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3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3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3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3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3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3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3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3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3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3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3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3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3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3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3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3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3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3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3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3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3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3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3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3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3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3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3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3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3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3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3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3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3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3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3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3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3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3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3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3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3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3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3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3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3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3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3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3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3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3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3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3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3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3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3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3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3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3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3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3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3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3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3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3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3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3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3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3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3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3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3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3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3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3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3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3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3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3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3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3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3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3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3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3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3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3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3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3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3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3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3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3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3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3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3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3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3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3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3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3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3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3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3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3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3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3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3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3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3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3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3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3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3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3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3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3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3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3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3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3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3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3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3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3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3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3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3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3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3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3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3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3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3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3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3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3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3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3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3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3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3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3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3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3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3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3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3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3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3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3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3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3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3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3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3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3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3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3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3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3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3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3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3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3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3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3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3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3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3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3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3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3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3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3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3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3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3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3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3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3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3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3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3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3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3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3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3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3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3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3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3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3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3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3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3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3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3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3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3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3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3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3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3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3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3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3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3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3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3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3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3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3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3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3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3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3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3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3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3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3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3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3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3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3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3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3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3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3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3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3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3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3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3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3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3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3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3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3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3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3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3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3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3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3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3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3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3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3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3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3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3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3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3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3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3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3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3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3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3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3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3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3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3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3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3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3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3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3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3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3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3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3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3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3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3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3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3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3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3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3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3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3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3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3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3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3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3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3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3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3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3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3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3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3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3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3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3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3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3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3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3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3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3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3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3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3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3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3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3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3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3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3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3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3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3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3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3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3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3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3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3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3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3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3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3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3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3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3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3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3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3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3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3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3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3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3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3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3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3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3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3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3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3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3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3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3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3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3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3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3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3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3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3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3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3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3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3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3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3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3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3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3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3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3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3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3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3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3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3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3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3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3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3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3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3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3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3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3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3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3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3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3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3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3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3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3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3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3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3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3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3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3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3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3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3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3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3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3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3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3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3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3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3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3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3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3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3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3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3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3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3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3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3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3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3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3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3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3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3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3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3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3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3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3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3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3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3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3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3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3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3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3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3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3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3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3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3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3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3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3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3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3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3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3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3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3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3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3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3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3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3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3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3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3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3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3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3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3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3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3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3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3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3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3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3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3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3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3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3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3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3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3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3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3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3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3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3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3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3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3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3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3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3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3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3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3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3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3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3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3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3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3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3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3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3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3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3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3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3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3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3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3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3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3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3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3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3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3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3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3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3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3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3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3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3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3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3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3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3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3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3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3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3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3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3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3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3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3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3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3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3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3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3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3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3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3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3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3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3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3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3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3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3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3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3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3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3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3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3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3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3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3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3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3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3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3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3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3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3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3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3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3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3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3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3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3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3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3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3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3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3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3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3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3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3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3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3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3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3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3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3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3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3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3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3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3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3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3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3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3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3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3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3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3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3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3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3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3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3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3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3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3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3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3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3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3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3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3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3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3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3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3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3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3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3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3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3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3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3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3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3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3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3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3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3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3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3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3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3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3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3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3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3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3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3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3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3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3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3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3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3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3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3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3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3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3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3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3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3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3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3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3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3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3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3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3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3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3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3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3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3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3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3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3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3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3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3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3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3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3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3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3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3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3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3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3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3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3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3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3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3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3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3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3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3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3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3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3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3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3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3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3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3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3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3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3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3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3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3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3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3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3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3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3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3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3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3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3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3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3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3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3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3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3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3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3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3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3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3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3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3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3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3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3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3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3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3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3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3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3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3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3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3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3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3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3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3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3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3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3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3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3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3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3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3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3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3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3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3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3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3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3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3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3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3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3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3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3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3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3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3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3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3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3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3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3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3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3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3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3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3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3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3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3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3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3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3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3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3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3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3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3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3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3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3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3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3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3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3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3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3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3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3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3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3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3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3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3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3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3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3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3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3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3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3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3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3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3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3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3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3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3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3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3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3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3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3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3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3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3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3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3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3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3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3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3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3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3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3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3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3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3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3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3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3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3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3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3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3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3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3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3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3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3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3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3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3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3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3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3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3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3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3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3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3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3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3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3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3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3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3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3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3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3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3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3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3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3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3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3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3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3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3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3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3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3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3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3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3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3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3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3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3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3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3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3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3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3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3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3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3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3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3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3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3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3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3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3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3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3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3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3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3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3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3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3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3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3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3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3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3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3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3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3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3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3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3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3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3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3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3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3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3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3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3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3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3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3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3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3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3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3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3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3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3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3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3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3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3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3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3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3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3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3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3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3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3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3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3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3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3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3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3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3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3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3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3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3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3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3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3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3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3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3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3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3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3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3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3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3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3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3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3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3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3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3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3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3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3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3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3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3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3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3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3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3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3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3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3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3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3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3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3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3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3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3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3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3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3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3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3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3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3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3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3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3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3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3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3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3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3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3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3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3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3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3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3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3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3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3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3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3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3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3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3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3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3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3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3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3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3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3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3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3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3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3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3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3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3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3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3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3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3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3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3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3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3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3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3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3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3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3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3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3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3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3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3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3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3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3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3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3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3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3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3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3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3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3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3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3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3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3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3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3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3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3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3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3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3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3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3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3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3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3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3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3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3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3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3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3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3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3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3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3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3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3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3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3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3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3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3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3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3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3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3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3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3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3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3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3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3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3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3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3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3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3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3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3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3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3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3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3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3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3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3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3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3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3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3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3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3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3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3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3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3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3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3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3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3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3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3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3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3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3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3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3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3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3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3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3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3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3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3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3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3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3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3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3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3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3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3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3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3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3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3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3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3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3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3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3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3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3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3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3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3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3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3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3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3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3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3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3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3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3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3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3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3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3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3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3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3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3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3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3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3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3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3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3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3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3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3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3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3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3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3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3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3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3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3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3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3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3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3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3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3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3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3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3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3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3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3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3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3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3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3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3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3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3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3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3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3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3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3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3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3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3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3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3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3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3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3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3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3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3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3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3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3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3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3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3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3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3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3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3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3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3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3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3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3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3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3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3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3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3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3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3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3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3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3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3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3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3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3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3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3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3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3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3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3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3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3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3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3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3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3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3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3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3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3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3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3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3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3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3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3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3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3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3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3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3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3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3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3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3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3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3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3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3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3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3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3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3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3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3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3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3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3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3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3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3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3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3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3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3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3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3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3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3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3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3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3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3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3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3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3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3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3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3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3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3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3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3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3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3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3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3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3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3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3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3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3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3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3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3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3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3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3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3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3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3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3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3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3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3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3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3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3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3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3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3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3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3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3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3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3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3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3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3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3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3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3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3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3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3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3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3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3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3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3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3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3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3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3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3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3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3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3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3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3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3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3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3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3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3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3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3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3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3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3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3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3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3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3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3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3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3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3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3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3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3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3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3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3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3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3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3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3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3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3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3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3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3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3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3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3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3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3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3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3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3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3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3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3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3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3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3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3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3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3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3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3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3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3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3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3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3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3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3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3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3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3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3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3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3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3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3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3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3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3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3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3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3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3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3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3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3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3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3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3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3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3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3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3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3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3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3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3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3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3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3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3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3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3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3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3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3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3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3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3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3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3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3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3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3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3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3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3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3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3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3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3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3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3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3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3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3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3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3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3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3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3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3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3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3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3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3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3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3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3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3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3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3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3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3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3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3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3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3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3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3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3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3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3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3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3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3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3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3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3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3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3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3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3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3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3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3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3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3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3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3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3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3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3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3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3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3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3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3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3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3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3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3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3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3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3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3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3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3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3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3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3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3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3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3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3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3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3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3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3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3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3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3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3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3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3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3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3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3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3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3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3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3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3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3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3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3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3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3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3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3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3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3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3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3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3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3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3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3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3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3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3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3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3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3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3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3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3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3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3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3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3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3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3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3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3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3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3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3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3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3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3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3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3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3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3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3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3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3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3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3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3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3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3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3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3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3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3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3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3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3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3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3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3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3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3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3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3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3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3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3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3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3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3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3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3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3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3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3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3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3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3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3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3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3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3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3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3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3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3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3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3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3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3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3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3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3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3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3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3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3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3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3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3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3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3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3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3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3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3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3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3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3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3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3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3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3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3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3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3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3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3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3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3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3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3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3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3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3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3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3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3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3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3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3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3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3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3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3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3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3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3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3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3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3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3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3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3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3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3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3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3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3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3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3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3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3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3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3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3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3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3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3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3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3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3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3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3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3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3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3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3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3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3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3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3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3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3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3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3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3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3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3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3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3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3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3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3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3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3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3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3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3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3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3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3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3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3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3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3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3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3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3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3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3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3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3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3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3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3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3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3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3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3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3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3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3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3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3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3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3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3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3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3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3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3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3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3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3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3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3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3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3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3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3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3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3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3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3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3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3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3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3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3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3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3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3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3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3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3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3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3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3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3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3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3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3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3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3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3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3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3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3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3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3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3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3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3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3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3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3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3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3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3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3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3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3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3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3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3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3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3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3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3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3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3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3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3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3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3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3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3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3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3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3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3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3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3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3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3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3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3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3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3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3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3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3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3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3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3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3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3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3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3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3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3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3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3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3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3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3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3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3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3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3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3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3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3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3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3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3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3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3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3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3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3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3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3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3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3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3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3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3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3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3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3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3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3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3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3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3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3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3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3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3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3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3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3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3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3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3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3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3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3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3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3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3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3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3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3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3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3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3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3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3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3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3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3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3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3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3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3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3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3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3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3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3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3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3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3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3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3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3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3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3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3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3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3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3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3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3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3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3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3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3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3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3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3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3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3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3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3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3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3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3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3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3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3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3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3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3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3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3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3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3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3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3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3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3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3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3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3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3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3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3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3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3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3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3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3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3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3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3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3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3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3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3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3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3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3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3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3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3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3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3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3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3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3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3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3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3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3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3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3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3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3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3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3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3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3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3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3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3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3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3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3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3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3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3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3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3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3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3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3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3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3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3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3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3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3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3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3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3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3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3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3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3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3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3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3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3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3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3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3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3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3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3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3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3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3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3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3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3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3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3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3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3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3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3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3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3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3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3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3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3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3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3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3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3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3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3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3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3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3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3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3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3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3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3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3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3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3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3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3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3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3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3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3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3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3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3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3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3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3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3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3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3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3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3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3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3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3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3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3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3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3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3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3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3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3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3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3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3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3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3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3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3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3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3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3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3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3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3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3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3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3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3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3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3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3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3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3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3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3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3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3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3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3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3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3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3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3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3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3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3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3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3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3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3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3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3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3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3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3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3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3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3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3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3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3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3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3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3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3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3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3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3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3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3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3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3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3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3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3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3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3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3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3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3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3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3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3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3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3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3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3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3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3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3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3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3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3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3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3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3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3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3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3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3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3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3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3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3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3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3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3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3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3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3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3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3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3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3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3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3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3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3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3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3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3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3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3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3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3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3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3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3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3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3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3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3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3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3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3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3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3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3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3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3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3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3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3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3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3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3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3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3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3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3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3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3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3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3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3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3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3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3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3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3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3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3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3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3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3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3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3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3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3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3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3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3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3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3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3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3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3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3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3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3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3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3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3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3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3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3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3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3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3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3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3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3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3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3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3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3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3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3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3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3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3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3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3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3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3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3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3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3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3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3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3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3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3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3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3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3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3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3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3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3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3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3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3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3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3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3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3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3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3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3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3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3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3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3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3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3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3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3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3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3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3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3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3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3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3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3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3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3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3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3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3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3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3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3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3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3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3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3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3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3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3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3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3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3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3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3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3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3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3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3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3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3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3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3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3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3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3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3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3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3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3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3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3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3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3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3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3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3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3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3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3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3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3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3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3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3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3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3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3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3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3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3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3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3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3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3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3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3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3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3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3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3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3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3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3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3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3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3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3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3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3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3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3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3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3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3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3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3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3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3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3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3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3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3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3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3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3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3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3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3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3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3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3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3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3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3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3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3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3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3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3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3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3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3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3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3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3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3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3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3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3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3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3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3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3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3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3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3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3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3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3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3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3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3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3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3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3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3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3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3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3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3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3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3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3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3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3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3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3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3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3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3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3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3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3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3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3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3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3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3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3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3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3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3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3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3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3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3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3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3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3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3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3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3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3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3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3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3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3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3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3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3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3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3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3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3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3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3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3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3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3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3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3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3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3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3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3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3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3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3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3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3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3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3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3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3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3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3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3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3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3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3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3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3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3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3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3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3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3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3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3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3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3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3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3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3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3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3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3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3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3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3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3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3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3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3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3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3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3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3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3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3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3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3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3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3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3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3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3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3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3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3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3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3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3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3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3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3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3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3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3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3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3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3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3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3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3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3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3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3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3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3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3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3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3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3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3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3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3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3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3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3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3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3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3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3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3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3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3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3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3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3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3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3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3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3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3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3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3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3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3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3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3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3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3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3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3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3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3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3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3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3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3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3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3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3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3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3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3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3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3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3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3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3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3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3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3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3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3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3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3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3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3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3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3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3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3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3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3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3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3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3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3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3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3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3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3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3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3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3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3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3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3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3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3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3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3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3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3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3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3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3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3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3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3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3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3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3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3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3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3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3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3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3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3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3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3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3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3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3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3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3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3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3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3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3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3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3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3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3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3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3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3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3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3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3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3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3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3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3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3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3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3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3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3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3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3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3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3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3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3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3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3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3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3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3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3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3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3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3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3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3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3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3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3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3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3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3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3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3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3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3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3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3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3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3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3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3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3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3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3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3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3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3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3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3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3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3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3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3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3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3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3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3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3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3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3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3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3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3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3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3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3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3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3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3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3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3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3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3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3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3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3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3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3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3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3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3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3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3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3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3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3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3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3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3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3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3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3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3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3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3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3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3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3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3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3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3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3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3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3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3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3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3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3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3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3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3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3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3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3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3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3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3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3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3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3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3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3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3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3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3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3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3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3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3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3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3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3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3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3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3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3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3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3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3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3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3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3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3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3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3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3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3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3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3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3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3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3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3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3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3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3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3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3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3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3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3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3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3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3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3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3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3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3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3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3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3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3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3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3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3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3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3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3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3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3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3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3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3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3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3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3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3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3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3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3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3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3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3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3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3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3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3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3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3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3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3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3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3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3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3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3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3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3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3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3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3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3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3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3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3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3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3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3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3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3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3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3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3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3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3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3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3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3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3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3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3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3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3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3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3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3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3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3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3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3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3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3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3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3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3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3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3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3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3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3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3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3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3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3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3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3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3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3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3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3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3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3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3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3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3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3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3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3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3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3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3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3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3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3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3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3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3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3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3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3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3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3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3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3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3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3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3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3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3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3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3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3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3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3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3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3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3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3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3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3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3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3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3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3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3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3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3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3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3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3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3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3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3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3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3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3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3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3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3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3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3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3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3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3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3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3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3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3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3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3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3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3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3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3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3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3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3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3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3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3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3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3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3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3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3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3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3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3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3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3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3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3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3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3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3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3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3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3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3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3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3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3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3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3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3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3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3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3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3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3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3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3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3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3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3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3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3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3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3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3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3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3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3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3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3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3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3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3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3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3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3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3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3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3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3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3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3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3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3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3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3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3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3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3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3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3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3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3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3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3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3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3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3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3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3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3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3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3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3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3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3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3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3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3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3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3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3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3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3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3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3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3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3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3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3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3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3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3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3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3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3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3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3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3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3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3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3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3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3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3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3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3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3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3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3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3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3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3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3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3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3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3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3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3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3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3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3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3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3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3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3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3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3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3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3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3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3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3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3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3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3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3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3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3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3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3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3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3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3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3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3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3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3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3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3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3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3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3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3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3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3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3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3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3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3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3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3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3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3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3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3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3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3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3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3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3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3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3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3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3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3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3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3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3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3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3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3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3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3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3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3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3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3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3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3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3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3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3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3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3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3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3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3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3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3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3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3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3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3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3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3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3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3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3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3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3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3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3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3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3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3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3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3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3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3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3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3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3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3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3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3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3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3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3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3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3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3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3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3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3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3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3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3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3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3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3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3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3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3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3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3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3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3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3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3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3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3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3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3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3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3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3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3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3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3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3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3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3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3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3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3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3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3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3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3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3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3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3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3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3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3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3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3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3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3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3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3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3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3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3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3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3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3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3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3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3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3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3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3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3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3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3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3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3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3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3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3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3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3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3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3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3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3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3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3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3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3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3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3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3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3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3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3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3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3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3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3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3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3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3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3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3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3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3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3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3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3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3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3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3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3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3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3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3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3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3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3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3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3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3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3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3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3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3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3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3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3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3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3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3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3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3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3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3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3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3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3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3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3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3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3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3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3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3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3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3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3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3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3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3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3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3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3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3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3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3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3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3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3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3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3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3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3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3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3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3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3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3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3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3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3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3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3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3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3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3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3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3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3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3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3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3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3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3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3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3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3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3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3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3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3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3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3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3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3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3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3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3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3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3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3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3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3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3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3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3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3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3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3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3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3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3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3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3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3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3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3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3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3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3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3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3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3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3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3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3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3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3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3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3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3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3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3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3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3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3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3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3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3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3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3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3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3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3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3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3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3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3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3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3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3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3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3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3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3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3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3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3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3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3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3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3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3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3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3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3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3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3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3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3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3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3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3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3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3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3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3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3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3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3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3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3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3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3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3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3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3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3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3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3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3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3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3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3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3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3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3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3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3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3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3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3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3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3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3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3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3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3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3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3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3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3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3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3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3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3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3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3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3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3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3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3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3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3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3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3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3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3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3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3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3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3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3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3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3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3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3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3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3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3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3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3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3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3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3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3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3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3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3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3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3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3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3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3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3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3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3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3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3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3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3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3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3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3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3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3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3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3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3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3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3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3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3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3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3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3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3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3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3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3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3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3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3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3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3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3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3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3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3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3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3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3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3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3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3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3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3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3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3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3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3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3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3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3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3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3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3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3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3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3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3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3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3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3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3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3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3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3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3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3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3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3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3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3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3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3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3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3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3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3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3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3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3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3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3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3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3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3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3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3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3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3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3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3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3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3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3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3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3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3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3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3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3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3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3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3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3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3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3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3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3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3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3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3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3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3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3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3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3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3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3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3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3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3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3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3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3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3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3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3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3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3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3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3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3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3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3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3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3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3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3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3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3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3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3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3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3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3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3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3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3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3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3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3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3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3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3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3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3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3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3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3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3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3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3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3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3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3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3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3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3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3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3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3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3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3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3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3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3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3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3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3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3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3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3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3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3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3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3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3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3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3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3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3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3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3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3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3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3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3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3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3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3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3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3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3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3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3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3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3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3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3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3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3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3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3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3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3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3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3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3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3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3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3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3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3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3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3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3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3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3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3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3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3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3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3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3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3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3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3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3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3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3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3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3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3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3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3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3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3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3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3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3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3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3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3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3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3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3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3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3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3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3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3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3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3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3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3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3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3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3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3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3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3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3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3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3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3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3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3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3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3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3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3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3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3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3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3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3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3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3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3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3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3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3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3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3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3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3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3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3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3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3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3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3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3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3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3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3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3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3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3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3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3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3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3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3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3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3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3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3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3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3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3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3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3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3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3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3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3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3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3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3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3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3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3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3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3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3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3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3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3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3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3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3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3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3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3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3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3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3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3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3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3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3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3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3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3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3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3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3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3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3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3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3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3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3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3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3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3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3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3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3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3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3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3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3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3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3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3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3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3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3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3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3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3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3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3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3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3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3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3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3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3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3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3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3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3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3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3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3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3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3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3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3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3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3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3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3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3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3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3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3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3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3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3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3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3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3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3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3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3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3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3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3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3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3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3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3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3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3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3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3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3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3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3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3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3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3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3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3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3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3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3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3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3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3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3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3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3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3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3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3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3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3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3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3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3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3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3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3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3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3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3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3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3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3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3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3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3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3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3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3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3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3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3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3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3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3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3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3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3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3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3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3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3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3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3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3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3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3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3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3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3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3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3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3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3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3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3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3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3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3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3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3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3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3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3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3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3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3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3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3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3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3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3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3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3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3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3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3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3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3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3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3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3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3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3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3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3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3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3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3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3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3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3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3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3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3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3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3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3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3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3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3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3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3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3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3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3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3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3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3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3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3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3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3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3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3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3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3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3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3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3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3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3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3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3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3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3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3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3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3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3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3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3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3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3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3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3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3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3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3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3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3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3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3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3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3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3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3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3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3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3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3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3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3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3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3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3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3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3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3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3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3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3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3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3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3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3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3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3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3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3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3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3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3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3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3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3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3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3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3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3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3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3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3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3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3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3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3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3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3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3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3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3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3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3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3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3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3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3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3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3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3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3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3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3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3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3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3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3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3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3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3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3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3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3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3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3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3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3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3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3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3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3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3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3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3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3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3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3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3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3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3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3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3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3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3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3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3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3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3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3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3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3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3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3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3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3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3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3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3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3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3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3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3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3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3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3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3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3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3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3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3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3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3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3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3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3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3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3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3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3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3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3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3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3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3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3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3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3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3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3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3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3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3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3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3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3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3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3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3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3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3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3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3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3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3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3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3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3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3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3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3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3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3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3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3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3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3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3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3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3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3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3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3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3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3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3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3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3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3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3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3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3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3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3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3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3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3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3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3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3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3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3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3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3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3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3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3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3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3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3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3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3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3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3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3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3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3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3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3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3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3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3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3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3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3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3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3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3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3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3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3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3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3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3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3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3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3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3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zoomScale="63" zoomScaleNormal="100" workbookViewId="0">
      <selection activeCell="C5" sqref="C5"/>
    </sheetView>
  </sheetViews>
  <sheetFormatPr defaultColWidth="11.07421875" defaultRowHeight="12.45" x14ac:dyDescent="0.3"/>
  <cols>
    <col min="2" max="2" width="23.3828125" bestFit="1" customWidth="1"/>
    <col min="3" max="3" width="19.84375" customWidth="1"/>
    <col min="4" max="4" width="19" bestFit="1" customWidth="1"/>
    <col min="5" max="5" width="20.69140625" customWidth="1"/>
    <col min="6" max="6" width="17.15234375" customWidth="1"/>
    <col min="8" max="8" width="14" bestFit="1" customWidth="1"/>
    <col min="9" max="9" width="15.15234375" bestFit="1" customWidth="1"/>
    <col min="10" max="10" width="14.61328125" bestFit="1" customWidth="1"/>
    <col min="11" max="11" width="10.3046875" customWidth="1"/>
    <col min="13" max="13" width="17.3046875" bestFit="1" customWidth="1"/>
  </cols>
  <sheetData>
    <row r="1" spans="1:15" ht="25.75" thickBot="1" x14ac:dyDescent="0.65">
      <c r="B1" s="20"/>
      <c r="C1" s="21"/>
      <c r="D1" s="22" t="s">
        <v>30</v>
      </c>
      <c r="E1" s="21"/>
      <c r="F1" s="21"/>
      <c r="G1" s="21"/>
      <c r="H1" s="23"/>
    </row>
    <row r="3" spans="1:15" ht="12.9" thickBot="1" x14ac:dyDescent="0.35"/>
    <row r="4" spans="1:15" x14ac:dyDescent="0.3">
      <c r="B4" s="26"/>
      <c r="C4" s="27"/>
      <c r="D4" s="9"/>
      <c r="E4" s="9"/>
      <c r="F4" s="9"/>
      <c r="G4" s="9"/>
      <c r="H4" s="10"/>
    </row>
    <row r="5" spans="1:15" x14ac:dyDescent="0.3">
      <c r="B5" s="40" t="s">
        <v>18</v>
      </c>
      <c r="C5" s="29" t="str">
        <f>LoteEnsayo</f>
        <v xml:space="preserve"> </v>
      </c>
      <c r="H5" s="12"/>
    </row>
    <row r="6" spans="1:15" x14ac:dyDescent="0.3">
      <c r="B6" s="40" t="s">
        <v>19</v>
      </c>
      <c r="C6" s="30" t="str">
        <f>FechaEnsayo</f>
        <v>23/12/25</v>
      </c>
      <c r="H6" s="12"/>
      <c r="M6" s="17"/>
      <c r="N6" s="3"/>
      <c r="O6" s="17"/>
    </row>
    <row r="7" spans="1:15" x14ac:dyDescent="0.3">
      <c r="B7" s="28"/>
      <c r="C7" s="29"/>
      <c r="H7" s="12"/>
      <c r="M7" s="17"/>
      <c r="N7" s="3"/>
      <c r="O7" s="17"/>
    </row>
    <row r="8" spans="1:15" x14ac:dyDescent="0.3">
      <c r="B8" s="28"/>
      <c r="C8" s="29"/>
      <c r="H8" s="12"/>
    </row>
    <row r="9" spans="1:15" x14ac:dyDescent="0.3">
      <c r="B9" s="28"/>
      <c r="H9" s="12"/>
      <c r="M9" s="17"/>
      <c r="N9" s="3"/>
      <c r="O9" s="17"/>
    </row>
    <row r="10" spans="1:15" x14ac:dyDescent="0.3">
      <c r="B10" s="40" t="s">
        <v>20</v>
      </c>
      <c r="C10" s="29">
        <f>NPruebas</f>
        <v>0</v>
      </c>
      <c r="D10" s="17"/>
      <c r="E10" s="17"/>
      <c r="H10" s="12"/>
    </row>
    <row r="11" spans="1:15" x14ac:dyDescent="0.3">
      <c r="B11" s="28"/>
      <c r="C11" s="60"/>
      <c r="D11" s="61"/>
      <c r="E11" s="17"/>
      <c r="H11" s="12"/>
    </row>
    <row r="12" spans="1:15" x14ac:dyDescent="0.3">
      <c r="A12" s="12"/>
      <c r="C12" s="60"/>
      <c r="D12" s="61"/>
      <c r="H12" s="12"/>
    </row>
    <row r="13" spans="1:15" ht="12.9" thickBot="1" x14ac:dyDescent="0.35">
      <c r="B13" s="13"/>
      <c r="C13" s="14"/>
      <c r="D13" s="14"/>
      <c r="E13" s="14"/>
      <c r="F13" s="14"/>
      <c r="G13" s="14"/>
      <c r="H13" s="15"/>
    </row>
    <row r="20" spans="10:15" x14ac:dyDescent="0.3">
      <c r="J20" s="17"/>
    </row>
    <row r="21" spans="10:15" x14ac:dyDescent="0.3">
      <c r="M21" s="17"/>
    </row>
    <row r="22" spans="10:15" x14ac:dyDescent="0.3">
      <c r="K22" s="17"/>
      <c r="N22" s="17"/>
    </row>
    <row r="23" spans="10:15" x14ac:dyDescent="0.3">
      <c r="M23" s="17"/>
      <c r="O23" s="17"/>
    </row>
    <row r="24" spans="10:15" x14ac:dyDescent="0.3">
      <c r="J24" s="17"/>
      <c r="M24" s="17"/>
      <c r="O24" s="17"/>
    </row>
    <row r="39" spans="2:13" x14ac:dyDescent="0.3">
      <c r="M39" s="17"/>
    </row>
    <row r="44" spans="2:13" ht="12.9" thickBot="1" x14ac:dyDescent="0.35">
      <c r="M44" s="17"/>
    </row>
    <row r="45" spans="2:13" ht="20.25" customHeight="1" thickBot="1" x14ac:dyDescent="0.35">
      <c r="B45" s="43" t="s">
        <v>14</v>
      </c>
      <c r="C45" s="43" t="s">
        <v>21</v>
      </c>
      <c r="D45" s="43" t="s">
        <v>12</v>
      </c>
      <c r="E45" s="43" t="s">
        <v>15</v>
      </c>
      <c r="F45" s="45" t="s">
        <v>11</v>
      </c>
      <c r="G45" s="45" t="s">
        <v>16</v>
      </c>
      <c r="H45" s="51" t="s">
        <v>22</v>
      </c>
      <c r="I45" s="53" t="s">
        <v>25</v>
      </c>
      <c r="J45" s="53" t="s">
        <v>26</v>
      </c>
    </row>
    <row r="46" spans="2:13" x14ac:dyDescent="0.3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3" x14ac:dyDescent="0.3">
      <c r="B47" s="11"/>
      <c r="C47" s="46"/>
      <c r="D47" s="47" t="str">
        <f t="shared" ref="D47:D50" si="0">IF(C47&lt;&gt;0, E$46*F$46*(C47)/(H$46*G$46), "")</f>
        <v/>
      </c>
      <c r="E47" s="47"/>
      <c r="H47" s="12"/>
    </row>
    <row r="48" spans="2:13" x14ac:dyDescent="0.3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3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3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2.9" thickBot="1" x14ac:dyDescent="0.35">
      <c r="B51" s="13"/>
      <c r="C51" s="49"/>
      <c r="D51" s="47" t="str">
        <f t="shared" ref="D51" si="1">IF(C51&lt;&gt;0, E$46*F$46*(30/C51)/(H$46*G$46), "")</f>
        <v/>
      </c>
      <c r="E51" s="50" t="str">
        <f>IF(C51&lt;&gt;0, E$46*F$46*12/(G$46*(C51-D51)), "")</f>
        <v/>
      </c>
      <c r="F51" s="14"/>
      <c r="G51" s="14"/>
      <c r="H51" s="15"/>
    </row>
    <row r="52" spans="2:11" ht="14.6" x14ac:dyDescent="0.4">
      <c r="B52" s="41"/>
      <c r="C52" s="48"/>
      <c r="D52" s="52"/>
      <c r="E52" s="48"/>
      <c r="F52" s="19"/>
      <c r="G52" s="19"/>
      <c r="H52" s="19"/>
    </row>
    <row r="56" spans="2:11" ht="12.9" thickBot="1" x14ac:dyDescent="0.35">
      <c r="D56" s="14"/>
    </row>
    <row r="73" spans="3:9" x14ac:dyDescent="0.3">
      <c r="C73" s="32">
        <f>MAX(Hoja1!L5:L2000)</f>
        <v>0</v>
      </c>
      <c r="D73" s="32">
        <f>MAX(Hoja1!K5:K2000)</f>
        <v>0</v>
      </c>
      <c r="E73" s="32" t="e">
        <f>D73/#REF!</f>
        <v>#REF!</v>
      </c>
      <c r="I73" s="32" t="e">
        <f>C73*9.8/#REF!/#REF!*1000</f>
        <v>#REF!</v>
      </c>
    </row>
    <row r="74" spans="3:9" x14ac:dyDescent="0.3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3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3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3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3">
      <c r="D78" s="32"/>
    </row>
  </sheetData>
  <mergeCells count="2">
    <mergeCell ref="C11:C12"/>
    <mergeCell ref="D11:D12"/>
  </mergeCells>
  <conditionalFormatting sqref="D11:D12">
    <cfRule type="containsText" dxfId="8" priority="1" operator="containsText" text="NO PASS">
      <formula>NOT(ISERROR(SEARCH("NO PASS",D11)))</formula>
    </cfRule>
    <cfRule type="containsText" dxfId="7" priority="2" operator="containsText" text="PASS">
      <formula>NOT(ISERROR(SEARCH("PASS",D11)))</formula>
    </cfRule>
    <cfRule type="containsText" dxfId="6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8</xdr:col>
                <xdr:colOff>484414</xdr:colOff>
                <xdr:row>41</xdr:row>
                <xdr:rowOff>38100</xdr:rowOff>
              </from>
              <to>
                <xdr:col>9</xdr:col>
                <xdr:colOff>489857</xdr:colOff>
                <xdr:row>43</xdr:row>
                <xdr:rowOff>97971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R78"/>
  <sheetViews>
    <sheetView tabSelected="1" topLeftCell="A14" zoomScaleNormal="100" workbookViewId="0">
      <selection activeCell="K58" sqref="K58"/>
    </sheetView>
  </sheetViews>
  <sheetFormatPr defaultColWidth="11.07421875" defaultRowHeight="12.45" x14ac:dyDescent="0.3"/>
  <cols>
    <col min="1" max="1" width="7.61328125" customWidth="1"/>
    <col min="2" max="2" width="23.3828125" bestFit="1" customWidth="1"/>
    <col min="3" max="3" width="12.07421875" customWidth="1"/>
    <col min="4" max="4" width="10.53515625" customWidth="1"/>
    <col min="5" max="5" width="12.3046875" customWidth="1"/>
    <col min="6" max="6" width="11.07421875" customWidth="1"/>
    <col min="7" max="7" width="11.4609375" customWidth="1"/>
    <col min="8" max="8" width="10.15234375" customWidth="1"/>
    <col min="9" max="9" width="10" customWidth="1"/>
    <col min="10" max="10" width="10.15234375" customWidth="1"/>
    <col min="11" max="11" width="9.15234375" customWidth="1"/>
    <col min="12" max="12" width="20.84375" bestFit="1" customWidth="1"/>
    <col min="13" max="13" width="21.15234375" customWidth="1"/>
    <col min="14" max="14" width="10.3046875" customWidth="1"/>
    <col min="16" max="16" width="17.3046875" bestFit="1" customWidth="1"/>
  </cols>
  <sheetData>
    <row r="1" spans="1:18" ht="25.75" thickBot="1" x14ac:dyDescent="0.65">
      <c r="B1" s="20"/>
      <c r="C1" s="21"/>
      <c r="D1" s="21"/>
      <c r="E1" s="22" t="s">
        <v>17</v>
      </c>
      <c r="F1" s="21"/>
      <c r="G1" s="21"/>
      <c r="H1" s="21"/>
      <c r="I1" s="21"/>
      <c r="J1" s="21"/>
      <c r="K1" s="23"/>
    </row>
    <row r="3" spans="1:18" ht="12.9" thickBot="1" x14ac:dyDescent="0.35"/>
    <row r="4" spans="1:18" x14ac:dyDescent="0.3">
      <c r="B4" s="26"/>
      <c r="C4" s="27"/>
      <c r="D4" s="9"/>
      <c r="E4" s="9"/>
      <c r="F4" s="9"/>
      <c r="G4" s="9"/>
      <c r="H4" s="9"/>
      <c r="I4" s="9"/>
      <c r="J4" s="9"/>
      <c r="K4" s="10"/>
    </row>
    <row r="5" spans="1:18" x14ac:dyDescent="0.3">
      <c r="B5" s="40" t="s">
        <v>18</v>
      </c>
      <c r="C5" s="29" t="str">
        <f>LoteEnsayo</f>
        <v xml:space="preserve"> </v>
      </c>
      <c r="J5" s="62"/>
      <c r="K5" s="12"/>
    </row>
    <row r="6" spans="1:18" x14ac:dyDescent="0.3">
      <c r="B6" s="40" t="s">
        <v>19</v>
      </c>
      <c r="C6" s="30" t="str">
        <f>FechaEnsayo</f>
        <v>23/12/25</v>
      </c>
      <c r="J6" s="62"/>
      <c r="K6" s="12"/>
      <c r="P6" s="17"/>
      <c r="Q6" s="3"/>
      <c r="R6" s="17"/>
    </row>
    <row r="7" spans="1:18" x14ac:dyDescent="0.3">
      <c r="B7" s="28"/>
      <c r="C7" s="29"/>
      <c r="J7" s="62"/>
      <c r="K7" s="12"/>
      <c r="P7" s="17"/>
      <c r="Q7" s="3"/>
      <c r="R7" s="17"/>
    </row>
    <row r="8" spans="1:18" x14ac:dyDescent="0.3">
      <c r="B8" s="28"/>
      <c r="C8" s="29"/>
      <c r="J8" s="62"/>
      <c r="K8" s="12"/>
    </row>
    <row r="9" spans="1:18" x14ac:dyDescent="0.3">
      <c r="B9" s="28"/>
      <c r="J9" s="62"/>
      <c r="K9" s="12"/>
      <c r="P9" s="17"/>
      <c r="Q9" s="3"/>
      <c r="R9" s="17"/>
    </row>
    <row r="10" spans="1:18" x14ac:dyDescent="0.3">
      <c r="B10" s="40" t="s">
        <v>20</v>
      </c>
      <c r="C10" s="29">
        <f>NPruebas</f>
        <v>0</v>
      </c>
      <c r="D10" s="17"/>
      <c r="E10" s="17"/>
      <c r="F10" s="17"/>
      <c r="G10" s="17"/>
      <c r="J10" s="62"/>
      <c r="K10" s="12"/>
    </row>
    <row r="11" spans="1:18" x14ac:dyDescent="0.3">
      <c r="B11" s="28"/>
      <c r="C11" s="60"/>
      <c r="D11" s="61"/>
      <c r="E11" s="17"/>
      <c r="F11" s="17"/>
      <c r="G11" s="17"/>
      <c r="J11" s="62"/>
      <c r="K11" s="12"/>
    </row>
    <row r="12" spans="1:18" x14ac:dyDescent="0.3">
      <c r="A12" s="12"/>
      <c r="C12" s="60"/>
      <c r="D12" s="61"/>
      <c r="J12" s="62"/>
      <c r="K12" s="12"/>
    </row>
    <row r="13" spans="1:18" ht="12.9" thickBot="1" x14ac:dyDescent="0.35">
      <c r="B13" s="13"/>
      <c r="C13" s="14"/>
      <c r="D13" s="14"/>
      <c r="E13" s="14"/>
      <c r="F13" s="14"/>
      <c r="G13" s="14"/>
      <c r="H13" s="14"/>
      <c r="I13" s="14"/>
      <c r="J13" s="14"/>
      <c r="K13" s="15"/>
    </row>
    <row r="20" spans="13:18" x14ac:dyDescent="0.3">
      <c r="M20" s="17"/>
    </row>
    <row r="21" spans="13:18" x14ac:dyDescent="0.3">
      <c r="P21" s="17"/>
    </row>
    <row r="22" spans="13:18" x14ac:dyDescent="0.3">
      <c r="N22" s="17"/>
      <c r="Q22" s="17"/>
    </row>
    <row r="23" spans="13:18" x14ac:dyDescent="0.3">
      <c r="P23" s="17"/>
      <c r="R23" s="17"/>
    </row>
    <row r="24" spans="13:18" x14ac:dyDescent="0.3">
      <c r="M24" s="17"/>
      <c r="P24" s="17"/>
      <c r="R24" s="17"/>
    </row>
    <row r="44" spans="2:12" ht="12.9" thickBot="1" x14ac:dyDescent="0.35">
      <c r="K44" s="14"/>
    </row>
    <row r="45" spans="2:12" ht="20.25" customHeight="1" thickBot="1" x14ac:dyDescent="0.35">
      <c r="B45" s="43" t="s">
        <v>14</v>
      </c>
      <c r="C45" s="43"/>
      <c r="D45" s="43"/>
      <c r="E45" s="45" t="s">
        <v>13</v>
      </c>
      <c r="F45" s="45" t="s">
        <v>28</v>
      </c>
      <c r="G45" s="45" t="s">
        <v>29</v>
      </c>
      <c r="H45" s="45" t="s">
        <v>15</v>
      </c>
      <c r="I45" s="45" t="s">
        <v>11</v>
      </c>
      <c r="J45" s="45" t="s">
        <v>16</v>
      </c>
      <c r="K45" s="44" t="s">
        <v>12</v>
      </c>
      <c r="L45" s="11"/>
    </row>
    <row r="46" spans="2:12" x14ac:dyDescent="0.3">
      <c r="B46" s="54">
        <v>1</v>
      </c>
      <c r="C46" s="46"/>
      <c r="D46" s="46"/>
      <c r="E46" s="47" t="str">
        <f>IF(C46&lt;&gt;0, H$46*I$46*12/(J$46*ABS(C46-D46)), "")</f>
        <v/>
      </c>
      <c r="F46" s="47" t="str">
        <f>IF(C46&lt;&gt;0,E46/K$46,"")</f>
        <v/>
      </c>
      <c r="G46" s="46" t="str">
        <f>D51</f>
        <v/>
      </c>
      <c r="H46">
        <f>36/1000</f>
        <v>3.5999999999999997E-2</v>
      </c>
      <c r="I46">
        <v>0.38500000000000001</v>
      </c>
      <c r="J46">
        <v>2.5149999999999999E-3</v>
      </c>
      <c r="K46" s="10"/>
    </row>
    <row r="47" spans="2:12" x14ac:dyDescent="0.3">
      <c r="B47" s="54">
        <v>2</v>
      </c>
      <c r="C47" s="46"/>
      <c r="D47" s="46"/>
      <c r="E47" s="47" t="str">
        <f>IF(C47&lt;&gt;0, H$46*I$46*12/(J$46*ABS(C47-D47)), "")</f>
        <v/>
      </c>
      <c r="F47" s="47" t="str">
        <f t="shared" ref="F47:F50" si="0">IF(C47&lt;&gt;0,E47/K$46,"")</f>
        <v/>
      </c>
      <c r="G47" s="47"/>
      <c r="J47" s="62"/>
      <c r="K47" s="12"/>
    </row>
    <row r="48" spans="2:12" x14ac:dyDescent="0.3">
      <c r="B48" s="54">
        <v>3</v>
      </c>
      <c r="C48" s="46"/>
      <c r="D48" s="46"/>
      <c r="E48" s="47" t="str">
        <f>IF(C48&lt;&gt;0, H$46*I$46*12/(J$46*ABS(C48-D48)), "")</f>
        <v/>
      </c>
      <c r="F48" s="47" t="str">
        <f t="shared" si="0"/>
        <v/>
      </c>
      <c r="G48" s="47"/>
      <c r="J48" s="62"/>
      <c r="K48" s="12"/>
    </row>
    <row r="49" spans="2:14" x14ac:dyDescent="0.3">
      <c r="B49" s="54">
        <v>4</v>
      </c>
      <c r="C49" s="46"/>
      <c r="D49" s="46"/>
      <c r="E49" s="47" t="str">
        <f>IF(C49&lt;&gt;0, H$46*I$46*12/(J$46*ABS(C49-D49)), "")</f>
        <v/>
      </c>
      <c r="F49" s="47" t="str">
        <f t="shared" si="0"/>
        <v/>
      </c>
      <c r="G49" s="47"/>
      <c r="J49" s="62"/>
      <c r="K49" s="12"/>
      <c r="N49" s="38" t="s">
        <v>3</v>
      </c>
    </row>
    <row r="50" spans="2:14" x14ac:dyDescent="0.3">
      <c r="B50" s="54">
        <v>5</v>
      </c>
      <c r="C50" s="46"/>
      <c r="D50" s="46"/>
      <c r="E50" s="47" t="str">
        <f>IF(C50&lt;&gt;0, H$46*I$46*12/(J$46*ABS(C50-D50)), "")</f>
        <v/>
      </c>
      <c r="F50" s="47" t="str">
        <f t="shared" si="0"/>
        <v/>
      </c>
      <c r="G50" s="47"/>
      <c r="J50" s="62"/>
      <c r="K50" s="12"/>
    </row>
    <row r="51" spans="2:14" ht="12.9" thickBot="1" x14ac:dyDescent="0.35">
      <c r="B51" s="55" t="s">
        <v>24</v>
      </c>
      <c r="C51" s="49" t="str">
        <f>IF(C46&lt;&gt;"",AVERAGE(C46:C50),"")</f>
        <v/>
      </c>
      <c r="D51" s="49" t="str">
        <f>IF(D46&lt;&gt;"",AVERAGE(D46:D50),"")</f>
        <v/>
      </c>
      <c r="E51" s="49" t="str">
        <f>IF(E46&lt;&gt;"",AVERAGE(E46:E50),"")</f>
        <v/>
      </c>
      <c r="F51" s="49" t="str">
        <f>IF(F46&lt;&gt;"",AVERAGE(F46:F50),"")</f>
        <v/>
      </c>
      <c r="G51" s="49"/>
      <c r="H51" s="14"/>
      <c r="I51" s="14"/>
      <c r="J51" s="14"/>
      <c r="K51" s="15"/>
    </row>
    <row r="52" spans="2:14" ht="14.6" x14ac:dyDescent="0.4">
      <c r="B52" s="41"/>
      <c r="C52" s="48"/>
      <c r="D52" s="48"/>
      <c r="E52" s="48"/>
      <c r="F52" s="48"/>
      <c r="G52" s="48"/>
      <c r="H52" s="19"/>
      <c r="I52" s="19"/>
      <c r="J52" s="19"/>
      <c r="K52" s="63"/>
    </row>
    <row r="56" spans="2:14" ht="12.9" thickBot="1" x14ac:dyDescent="0.35">
      <c r="D56" s="14"/>
    </row>
    <row r="73" spans="3:12" x14ac:dyDescent="0.3">
      <c r="C73" s="32">
        <f>MAX(Hoja1!L5:L2000)</f>
        <v>0</v>
      </c>
      <c r="D73" s="32">
        <f>MAX(Hoja1!K5:K2000)</f>
        <v>0</v>
      </c>
      <c r="E73" s="32" t="e">
        <f>D73/#REF!</f>
        <v>#REF!</v>
      </c>
      <c r="F73" s="32"/>
      <c r="G73" s="32"/>
      <c r="L73" s="32" t="e">
        <f>C73*9.8/#REF!/#REF!*1000</f>
        <v>#REF!</v>
      </c>
    </row>
    <row r="74" spans="3:12" x14ac:dyDescent="0.3">
      <c r="C74" s="32">
        <f>MAX(Hoja1!N5:N2000)</f>
        <v>0</v>
      </c>
      <c r="D74" s="32">
        <f>MAX(Hoja1!M5:M2000)</f>
        <v>0</v>
      </c>
      <c r="E74" s="32" t="e">
        <f>D74/#REF!</f>
        <v>#REF!</v>
      </c>
      <c r="F74" s="32"/>
      <c r="G74" s="32"/>
      <c r="L74" s="32" t="e">
        <f>C74*9.8/#REF!/#REF!*1000</f>
        <v>#REF!</v>
      </c>
    </row>
    <row r="75" spans="3:12" x14ac:dyDescent="0.3">
      <c r="C75" s="32">
        <f>MAX(Hoja1!P5:P2000)</f>
        <v>0</v>
      </c>
      <c r="D75" s="32">
        <f>MAX(Hoja1!O5:O2000)</f>
        <v>0</v>
      </c>
      <c r="E75" s="32" t="e">
        <f>D75/#REF!</f>
        <v>#REF!</v>
      </c>
      <c r="F75" s="32"/>
      <c r="G75" s="32"/>
      <c r="L75" s="32" t="e">
        <f>C75*9.8/#REF!/#REF!*1000</f>
        <v>#REF!</v>
      </c>
    </row>
    <row r="76" spans="3:12" x14ac:dyDescent="0.3">
      <c r="C76" s="32">
        <f>MAX(Hoja1!R5:R2000)</f>
        <v>0</v>
      </c>
      <c r="D76" s="32">
        <f>MAX(Hoja1!Q5:Q2000)</f>
        <v>0</v>
      </c>
      <c r="E76" s="32" t="e">
        <f>D76/#REF!</f>
        <v>#REF!</v>
      </c>
      <c r="F76" s="32"/>
      <c r="G76" s="32"/>
      <c r="L76" s="32" t="e">
        <f>C76*9.8/#REF!/#REF!*1000</f>
        <v>#REF!</v>
      </c>
    </row>
    <row r="77" spans="3:12" x14ac:dyDescent="0.3">
      <c r="C77" s="32">
        <f>MAX(Hoja1!T5:T2000)</f>
        <v>0</v>
      </c>
      <c r="D77" s="32">
        <f>MAX(Hoja1!S5:S2000)</f>
        <v>0</v>
      </c>
      <c r="E77" s="32" t="e">
        <f>D77/#REF!</f>
        <v>#REF!</v>
      </c>
      <c r="F77" s="32"/>
      <c r="G77" s="32"/>
      <c r="L77" s="32" t="e">
        <f>C77*9.8/#REF!/#REF!*1000</f>
        <v>#REF!</v>
      </c>
    </row>
    <row r="78" spans="3:12" x14ac:dyDescent="0.3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58B-C9F8-434E-85C3-28B7156CFFC9}">
  <sheetPr codeName="Hoja5">
    <pageSetUpPr fitToPage="1"/>
  </sheetPr>
  <dimension ref="A1:R78"/>
  <sheetViews>
    <sheetView zoomScaleNormal="100" workbookViewId="0">
      <selection activeCell="L62" sqref="L62"/>
    </sheetView>
  </sheetViews>
  <sheetFormatPr defaultColWidth="11.07421875" defaultRowHeight="12.45" x14ac:dyDescent="0.3"/>
  <cols>
    <col min="1" max="1" width="7.61328125" customWidth="1"/>
    <col min="2" max="2" width="23.3828125" bestFit="1" customWidth="1"/>
    <col min="3" max="3" width="12.07421875" customWidth="1"/>
    <col min="4" max="4" width="10.53515625" customWidth="1"/>
    <col min="5" max="5" width="12.3046875" customWidth="1"/>
    <col min="6" max="6" width="11.07421875" customWidth="1"/>
    <col min="7" max="7" width="11.4609375" customWidth="1"/>
    <col min="8" max="8" width="10.15234375" customWidth="1"/>
    <col min="9" max="9" width="10" customWidth="1"/>
    <col min="10" max="10" width="10.15234375" customWidth="1"/>
    <col min="11" max="11" width="9.15234375" customWidth="1"/>
    <col min="12" max="12" width="20.84375" bestFit="1" customWidth="1"/>
    <col min="13" max="13" width="21.15234375" customWidth="1"/>
    <col min="14" max="14" width="10.3046875" customWidth="1"/>
    <col min="16" max="16" width="17.3046875" bestFit="1" customWidth="1"/>
  </cols>
  <sheetData>
    <row r="1" spans="1:18" ht="25.75" thickBot="1" x14ac:dyDescent="0.65">
      <c r="B1" s="20"/>
      <c r="C1" s="21"/>
      <c r="D1" s="21"/>
      <c r="E1" s="22" t="s">
        <v>17</v>
      </c>
      <c r="F1" s="21"/>
      <c r="G1" s="21"/>
      <c r="H1" s="21"/>
      <c r="I1" s="21"/>
      <c r="J1" s="21"/>
      <c r="K1" s="23"/>
    </row>
    <row r="3" spans="1:18" ht="12.9" thickBot="1" x14ac:dyDescent="0.35"/>
    <row r="4" spans="1:18" x14ac:dyDescent="0.3">
      <c r="B4" s="26"/>
      <c r="C4" s="27"/>
      <c r="D4" s="9"/>
      <c r="E4" s="9"/>
      <c r="F4" s="9"/>
      <c r="G4" s="9"/>
      <c r="H4" s="9"/>
      <c r="I4" s="9"/>
      <c r="J4" s="9"/>
      <c r="K4" s="10"/>
    </row>
    <row r="5" spans="1:18" x14ac:dyDescent="0.3">
      <c r="B5" s="40" t="s">
        <v>18</v>
      </c>
      <c r="C5" s="29" t="str">
        <f>LoteEnsayo</f>
        <v xml:space="preserve"> </v>
      </c>
      <c r="J5" s="62"/>
      <c r="K5" s="12"/>
    </row>
    <row r="6" spans="1:18" x14ac:dyDescent="0.3">
      <c r="B6" s="40" t="s">
        <v>19</v>
      </c>
      <c r="C6" s="30" t="str">
        <f>FechaEnsayo</f>
        <v>23/12/25</v>
      </c>
      <c r="J6" s="62"/>
      <c r="K6" s="12"/>
      <c r="P6" s="17"/>
      <c r="Q6" s="3"/>
      <c r="R6" s="17"/>
    </row>
    <row r="7" spans="1:18" x14ac:dyDescent="0.3">
      <c r="B7" s="28"/>
      <c r="C7" s="29"/>
      <c r="J7" s="62"/>
      <c r="K7" s="12"/>
      <c r="P7" s="17"/>
      <c r="Q7" s="3"/>
      <c r="R7" s="17"/>
    </row>
    <row r="8" spans="1:18" x14ac:dyDescent="0.3">
      <c r="B8" s="28"/>
      <c r="C8" s="29"/>
      <c r="J8" s="62"/>
      <c r="K8" s="12"/>
    </row>
    <row r="9" spans="1:18" x14ac:dyDescent="0.3">
      <c r="B9" s="28"/>
      <c r="J9" s="62"/>
      <c r="K9" s="12"/>
      <c r="P9" s="17"/>
      <c r="Q9" s="3"/>
      <c r="R9" s="17"/>
    </row>
    <row r="10" spans="1:18" x14ac:dyDescent="0.3">
      <c r="B10" s="40" t="s">
        <v>20</v>
      </c>
      <c r="C10" s="29">
        <f>NPruebas</f>
        <v>0</v>
      </c>
      <c r="D10" s="17"/>
      <c r="E10" s="17"/>
      <c r="F10" s="17"/>
      <c r="G10" s="17"/>
      <c r="J10" s="62"/>
      <c r="K10" s="12"/>
    </row>
    <row r="11" spans="1:18" x14ac:dyDescent="0.3">
      <c r="B11" s="28"/>
      <c r="C11" s="60"/>
      <c r="D11" s="61"/>
      <c r="E11" s="17"/>
      <c r="F11" s="17"/>
      <c r="G11" s="17"/>
      <c r="J11" s="62"/>
      <c r="K11" s="12"/>
    </row>
    <row r="12" spans="1:18" x14ac:dyDescent="0.3">
      <c r="A12" s="12"/>
      <c r="C12" s="60"/>
      <c r="D12" s="61"/>
      <c r="J12" s="62"/>
      <c r="K12" s="12"/>
    </row>
    <row r="13" spans="1:18" ht="12.9" thickBot="1" x14ac:dyDescent="0.35">
      <c r="B13" s="13"/>
      <c r="C13" s="14"/>
      <c r="D13" s="14"/>
      <c r="E13" s="14"/>
      <c r="F13" s="14"/>
      <c r="G13" s="14"/>
      <c r="H13" s="14"/>
      <c r="I13" s="14"/>
      <c r="J13" s="14"/>
      <c r="K13" s="15"/>
    </row>
    <row r="20" spans="13:18" x14ac:dyDescent="0.3">
      <c r="M20" s="17"/>
    </row>
    <row r="21" spans="13:18" x14ac:dyDescent="0.3">
      <c r="P21" s="17"/>
    </row>
    <row r="22" spans="13:18" x14ac:dyDescent="0.3">
      <c r="N22" s="17"/>
      <c r="Q22" s="17"/>
    </row>
    <row r="23" spans="13:18" x14ac:dyDescent="0.3">
      <c r="P23" s="17"/>
      <c r="R23" s="17"/>
    </row>
    <row r="24" spans="13:18" x14ac:dyDescent="0.3">
      <c r="M24" s="17"/>
      <c r="P24" s="17"/>
      <c r="R24" s="17"/>
    </row>
    <row r="45" ht="20.25" customHeight="1" x14ac:dyDescent="0.3"/>
    <row r="49" spans="14:14" x14ac:dyDescent="0.3">
      <c r="N49" s="38" t="s">
        <v>3</v>
      </c>
    </row>
    <row r="73" spans="3:12" x14ac:dyDescent="0.3">
      <c r="C73" s="32">
        <f>MAX(Hoja1!L5:L2000)</f>
        <v>0</v>
      </c>
      <c r="D73" s="32">
        <f>MAX(Hoja1!K5:K2000)</f>
        <v>0</v>
      </c>
      <c r="E73" s="32" t="e">
        <f>D73/#REF!</f>
        <v>#REF!</v>
      </c>
      <c r="F73" s="32"/>
      <c r="G73" s="32"/>
      <c r="L73" s="32" t="e">
        <f>C73*9.8/#REF!/#REF!*1000</f>
        <v>#REF!</v>
      </c>
    </row>
    <row r="74" spans="3:12" x14ac:dyDescent="0.3">
      <c r="C74" s="32">
        <f>MAX(Hoja1!N5:N2000)</f>
        <v>0</v>
      </c>
      <c r="D74" s="32">
        <f>MAX(Hoja1!M5:M2000)</f>
        <v>0</v>
      </c>
      <c r="E74" s="32" t="e">
        <f>D74/#REF!</f>
        <v>#REF!</v>
      </c>
      <c r="F74" s="32"/>
      <c r="G74" s="32"/>
      <c r="L74" s="32" t="e">
        <f>C74*9.8/#REF!/#REF!*1000</f>
        <v>#REF!</v>
      </c>
    </row>
    <row r="75" spans="3:12" x14ac:dyDescent="0.3">
      <c r="C75" s="32">
        <f>MAX(Hoja1!P5:P2000)</f>
        <v>0</v>
      </c>
      <c r="D75" s="32">
        <f>MAX(Hoja1!O5:O2000)</f>
        <v>0</v>
      </c>
      <c r="E75" s="32" t="e">
        <f>D75/#REF!</f>
        <v>#REF!</v>
      </c>
      <c r="F75" s="32"/>
      <c r="G75" s="32"/>
      <c r="L75" s="32" t="e">
        <f>C75*9.8/#REF!/#REF!*1000</f>
        <v>#REF!</v>
      </c>
    </row>
    <row r="76" spans="3:12" x14ac:dyDescent="0.3">
      <c r="C76" s="32">
        <f>MAX(Hoja1!R5:R2000)</f>
        <v>0</v>
      </c>
      <c r="D76" s="32">
        <f>MAX(Hoja1!Q5:Q2000)</f>
        <v>0</v>
      </c>
      <c r="E76" s="32" t="e">
        <f>D76/#REF!</f>
        <v>#REF!</v>
      </c>
      <c r="F76" s="32"/>
      <c r="G76" s="32"/>
      <c r="L76" s="32" t="e">
        <f>C76*9.8/#REF!/#REF!*1000</f>
        <v>#REF!</v>
      </c>
    </row>
    <row r="77" spans="3:12" x14ac:dyDescent="0.3">
      <c r="C77" s="32">
        <f>MAX(Hoja1!T5:T2000)</f>
        <v>0</v>
      </c>
      <c r="D77" s="32">
        <f>MAX(Hoja1!S5:S2000)</f>
        <v>0</v>
      </c>
      <c r="E77" s="32" t="e">
        <f>D77/#REF!</f>
        <v>#REF!</v>
      </c>
      <c r="F77" s="32"/>
      <c r="G77" s="32"/>
      <c r="L77" s="32" t="e">
        <f>C77*9.8/#REF!/#REF!*1000</f>
        <v>#REF!</v>
      </c>
    </row>
    <row r="78" spans="3:12" x14ac:dyDescent="0.3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Fulls de càlcul</vt:lpstr>
      </vt:variant>
      <vt:variant>
        <vt:i4>4</vt:i4>
      </vt:variant>
      <vt:variant>
        <vt:lpstr>Intervals amb nom</vt:lpstr>
      </vt:variant>
      <vt:variant>
        <vt:i4>16</vt:i4>
      </vt:variant>
    </vt:vector>
  </HeadingPairs>
  <TitlesOfParts>
    <vt:vector size="20" baseType="lpstr">
      <vt:lpstr>Hoja1</vt:lpstr>
      <vt:lpstr>Calibración</vt:lpstr>
      <vt:lpstr>Ensayo B</vt:lpstr>
      <vt:lpstr>Ensayo A</vt:lpstr>
      <vt:lpstr>'Ensayo A'!Àrea_d'impressió</vt:lpstr>
      <vt:lpstr>'Ensayo B'!Àrea_d'impressió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Jaume Bot</cp:lastModifiedBy>
  <cp:lastPrinted>2015-01-15T09:21:10Z</cp:lastPrinted>
  <dcterms:created xsi:type="dcterms:W3CDTF">2009-06-15T11:15:48Z</dcterms:created>
  <dcterms:modified xsi:type="dcterms:W3CDTF">2026-01-20T10:53:38Z</dcterms:modified>
</cp:coreProperties>
</file>