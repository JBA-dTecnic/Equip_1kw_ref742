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A2D4835E-38BC-4115-88F7-36F738CA6FCC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<sst xmlns="http://schemas.openxmlformats.org/spreadsheetml/2006/main" count="70" uniqueCount="34">
  <si>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</si>
  <si>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</si>
  <si>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</si>
  <si>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</si>
  <si>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</si>
  <si>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</si>
  <si>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</si>
  <si>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</si>
  <si>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</si>
  <si>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</si>
  <si>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</si>
  <si>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</si>
  <si>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</si>
  <si>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</si>
  <si>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</si>
  <si>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</si>
  <si>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</si>
  <si>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</si>
  <si>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</si>
  <si>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</si>
  <si>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</si>
  <si>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</si>
  <si>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</si>
  <si>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</si>
  <si>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</si>
  <si>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</si>
  <si>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</si>
  <si>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</si>
  <si>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t24</t>
  </si>
  <si>
    <t>t12</t>
  </si>
  <si>
    <t>t30ºC</t>
  </si>
  <si>
    <t>α</t>
  </si>
  <si>
    <t>Cal_40</t>
  </si>
  <si>
    <t>23/12/25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</si>
</sst>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75"/>
                <c:pt idx="0">
                  <c:v>5.0026901066299999E-2</c:v>
                </c:pt>
                <c:pt idx="1">
                  <c:v>0.1000199988484</c:v>
                </c:pt>
                <c:pt idx="2">
                  <c:v>0.15004350245</c:v>
                </c:pt>
                <c:pt idx="3">
                  <c:v>0.20000809431079999</c:v>
                </c:pt>
                <c:pt idx="4">
                  <c:v>0.24898439645770001</c:v>
                </c:pt>
                <c:pt idx="5">
                  <c:v>0.29999500513080002</c:v>
                </c:pt>
                <c:pt idx="6">
                  <c:v>0.35002970695500002</c:v>
                </c:pt>
                <c:pt idx="7">
                  <c:v>0.40003830194470003</c:v>
                </c:pt>
                <c:pt idx="8">
                  <c:v>0.45007109642030002</c:v>
                </c:pt>
                <c:pt idx="9">
                  <c:v>0.50001049041750001</c:v>
                </c:pt>
                <c:pt idx="10">
                  <c:v>0.54999411106109997</c:v>
                </c:pt>
                <c:pt idx="11">
                  <c:v>0.59900242090230005</c:v>
                </c:pt>
                <c:pt idx="12">
                  <c:v>0.64900118112560001</c:v>
                </c:pt>
                <c:pt idx="13">
                  <c:v>0.69999992847439996</c:v>
                </c:pt>
                <c:pt idx="14">
                  <c:v>0.75001317262650002</c:v>
                </c:pt>
                <c:pt idx="15">
                  <c:v>0.79901129007339999</c:v>
                </c:pt>
                <c:pt idx="16">
                  <c:v>0.84904891252519998</c:v>
                </c:pt>
                <c:pt idx="17">
                  <c:v>0.8990284204483</c:v>
                </c:pt>
                <c:pt idx="18">
                  <c:v>0.94897717237470003</c:v>
                </c:pt>
                <c:pt idx="19">
                  <c:v>0.99899548292160001</c:v>
                </c:pt>
                <c:pt idx="20">
                  <c:v>1.049013137817</c:v>
                </c:pt>
                <c:pt idx="21">
                  <c:v>1.100000023842</c:v>
                </c:pt>
                <c:pt idx="22">
                  <c:v>1.1500222682950001</c:v>
                </c:pt>
                <c:pt idx="23">
                  <c:v>1.199001669884</c:v>
                </c:pt>
                <c:pt idx="24">
                  <c:v>1.2489986419679999</c:v>
                </c:pt>
                <c:pt idx="25">
                  <c:v>1.298993587494</c:v>
                </c:pt>
                <c:pt idx="26">
                  <c:v>1.3489837646480001</c:v>
                </c:pt>
                <c:pt idx="27">
                  <c:v>1.3989995717999999</c:v>
                </c:pt>
                <c:pt idx="28">
                  <c:v>1.450057268143</c:v>
                </c:pt>
                <c:pt idx="29">
                  <c:v>1.499995350838</c:v>
                </c:pt>
                <c:pt idx="30">
                  <c:v>1.549997448921</c:v>
                </c:pt>
                <c:pt idx="31">
                  <c:v>1.5999952554700001</c:v>
                </c:pt>
                <c:pt idx="32">
                  <c:v>1.650065541267</c:v>
                </c:pt>
                <c:pt idx="33">
                  <c:v>1.7000163793559999</c:v>
                </c:pt>
                <c:pt idx="34">
                  <c:v>1.749973654747</c:v>
                </c:pt>
                <c:pt idx="35">
                  <c:v>1.7999862432480001</c:v>
                </c:pt>
                <c:pt idx="36">
                  <c:v>1.8500230312349999</c:v>
                </c:pt>
                <c:pt idx="37">
                  <c:v>1.9000144004820001</c:v>
                </c:pt>
                <c:pt idx="38">
                  <c:v>1.950034618378</c:v>
                </c:pt>
                <c:pt idx="39">
                  <c:v>1.9989746809010001</c:v>
                </c:pt>
                <c:pt idx="40">
                  <c:v>2.0489823818209998</c:v>
                </c:pt>
                <c:pt idx="41">
                  <c:v>2.0999991893769998</c:v>
                </c:pt>
                <c:pt idx="42">
                  <c:v>2.1499972343440001</c:v>
                </c:pt>
                <c:pt idx="43">
                  <c:v>2.1999812126160001</c:v>
                </c:pt>
                <c:pt idx="44">
                  <c:v>2.2500011920929999</c:v>
                </c:pt>
                <c:pt idx="45">
                  <c:v>2.299991369247</c:v>
                </c:pt>
                <c:pt idx="46">
                  <c:v>2.3500137329099999</c:v>
                </c:pt>
                <c:pt idx="47">
                  <c:v>2.3989946842190002</c:v>
                </c:pt>
                <c:pt idx="48">
                  <c:v>2.4490132331850001</c:v>
                </c:pt>
                <c:pt idx="49">
                  <c:v>2.4989910125730002</c:v>
                </c:pt>
                <c:pt idx="50">
                  <c:v>2.5489997863770002</c:v>
                </c:pt>
                <c:pt idx="51">
                  <c:v>2.5989952087399999</c:v>
                </c:pt>
                <c:pt idx="52">
                  <c:v>2.648993730545</c:v>
                </c:pt>
                <c:pt idx="53">
                  <c:v>2.6990292072300002</c:v>
                </c:pt>
                <c:pt idx="54">
                  <c:v>2.748993635178</c:v>
                </c:pt>
                <c:pt idx="55">
                  <c:v>2.79900431633</c:v>
                </c:pt>
                <c:pt idx="56">
                  <c:v>2.8489801883700001</c:v>
                </c:pt>
                <c:pt idx="57">
                  <c:v>2.899046182632</c:v>
                </c:pt>
                <c:pt idx="58">
                  <c:v>2.9489943981170001</c:v>
                </c:pt>
                <c:pt idx="59">
                  <c:v>2.9990248680109999</c:v>
                </c:pt>
                <c:pt idx="60">
                  <c:v>3.048993587494</c:v>
                </c:pt>
                <c:pt idx="61">
                  <c:v>3.0990614891049999</c:v>
                </c:pt>
                <c:pt idx="62">
                  <c:v>3.1489980220790001</c:v>
                </c:pt>
                <c:pt idx="63">
                  <c:v>3.1990544795989999</c:v>
                </c:pt>
                <c:pt idx="64">
                  <c:v>3.248991966248</c:v>
                </c:pt>
                <c:pt idx="65">
                  <c:v>3.2989933490749999</c:v>
                </c:pt>
                <c:pt idx="66">
                  <c:v>3.3490264415739999</c:v>
                </c:pt>
                <c:pt idx="67">
                  <c:v>3.399007558823</c:v>
                </c:pt>
                <c:pt idx="68">
                  <c:v>3.4489893913270002</c:v>
                </c:pt>
                <c:pt idx="69">
                  <c:v>3.4989871978760001</c:v>
                </c:pt>
                <c:pt idx="70">
                  <c:v>3.5489962100980001</c:v>
                </c:pt>
                <c:pt idx="71">
                  <c:v>3.5989906787870001</c:v>
                </c:pt>
                <c:pt idx="72">
                  <c:v>3.648993730545</c:v>
                </c:pt>
                <c:pt idx="73">
                  <c:v>3.6990082263950002</c:v>
                </c:pt>
                <c:pt idx="74">
                  <c:v>3.74902677536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75"/>
                <c:pt idx="0">
                  <c:v>15.77594184875</c:v>
                </c:pt>
                <c:pt idx="1">
                  <c:v>15.77673053741</c:v>
                </c:pt>
                <c:pt idx="2">
                  <c:v>15.680695533750001</c:v>
                </c:pt>
                <c:pt idx="3">
                  <c:v>15.68385314941</c:v>
                </c:pt>
                <c:pt idx="4">
                  <c:v>15.682537078859999</c:v>
                </c:pt>
                <c:pt idx="5">
                  <c:v>15.681748390199999</c:v>
                </c:pt>
                <c:pt idx="6">
                  <c:v>15.675959587099999</c:v>
                </c:pt>
                <c:pt idx="7">
                  <c:v>15.686221122739999</c:v>
                </c:pt>
                <c:pt idx="8">
                  <c:v>15.96511650085</c:v>
                </c:pt>
                <c:pt idx="9">
                  <c:v>16.082725524899999</c:v>
                </c:pt>
                <c:pt idx="10">
                  <c:v>16.079305648799998</c:v>
                </c:pt>
                <c:pt idx="11">
                  <c:v>16.076936721799999</c:v>
                </c:pt>
                <c:pt idx="12">
                  <c:v>16.079042434689999</c:v>
                </c:pt>
                <c:pt idx="13">
                  <c:v>16.081935882570001</c:v>
                </c:pt>
                <c:pt idx="14">
                  <c:v>16.305841445919999</c:v>
                </c:pt>
                <c:pt idx="15">
                  <c:v>18.85009765625</c:v>
                </c:pt>
                <c:pt idx="16">
                  <c:v>18.869567871089998</c:v>
                </c:pt>
                <c:pt idx="17">
                  <c:v>18.872200012210001</c:v>
                </c:pt>
                <c:pt idx="18">
                  <c:v>18.875883102420001</c:v>
                </c:pt>
                <c:pt idx="19">
                  <c:v>18.89114189148</c:v>
                </c:pt>
                <c:pt idx="20">
                  <c:v>18.887195587160001</c:v>
                </c:pt>
                <c:pt idx="21">
                  <c:v>20.670806884769998</c:v>
                </c:pt>
                <c:pt idx="22">
                  <c:v>22.074752807620001</c:v>
                </c:pt>
                <c:pt idx="23">
                  <c:v>22.080013275150002</c:v>
                </c:pt>
                <c:pt idx="24">
                  <c:v>22.082118988040001</c:v>
                </c:pt>
                <c:pt idx="25">
                  <c:v>22.086065292360001</c:v>
                </c:pt>
                <c:pt idx="26">
                  <c:v>22.083698272709999</c:v>
                </c:pt>
                <c:pt idx="27">
                  <c:v>22.141580581669999</c:v>
                </c:pt>
                <c:pt idx="28">
                  <c:v>25.335189819339998</c:v>
                </c:pt>
                <c:pt idx="29">
                  <c:v>25.492792129520002</c:v>
                </c:pt>
                <c:pt idx="30">
                  <c:v>25.49358177185</c:v>
                </c:pt>
                <c:pt idx="31">
                  <c:v>25.499895095829999</c:v>
                </c:pt>
                <c:pt idx="32">
                  <c:v>25.492792129520002</c:v>
                </c:pt>
                <c:pt idx="33">
                  <c:v>25.503314971919998</c:v>
                </c:pt>
                <c:pt idx="34">
                  <c:v>27.030132293699999</c:v>
                </c:pt>
                <c:pt idx="35">
                  <c:v>28.89820098877</c:v>
                </c:pt>
                <c:pt idx="36">
                  <c:v>28.901357650760001</c:v>
                </c:pt>
                <c:pt idx="37">
                  <c:v>28.902673721309998</c:v>
                </c:pt>
                <c:pt idx="38">
                  <c:v>28.89846420288</c:v>
                </c:pt>
                <c:pt idx="39">
                  <c:v>28.907409667970001</c:v>
                </c:pt>
                <c:pt idx="40">
                  <c:v>28.921091079709999</c:v>
                </c:pt>
                <c:pt idx="41">
                  <c:v>31.764764785770002</c:v>
                </c:pt>
                <c:pt idx="42">
                  <c:v>32.197315216059998</c:v>
                </c:pt>
                <c:pt idx="43">
                  <c:v>32.20599746704</c:v>
                </c:pt>
                <c:pt idx="44">
                  <c:v>32.200733184809998</c:v>
                </c:pt>
                <c:pt idx="45">
                  <c:v>32.20599746704</c:v>
                </c:pt>
                <c:pt idx="46">
                  <c:v>32.21336364746</c:v>
                </c:pt>
                <c:pt idx="47">
                  <c:v>33.31341934204</c:v>
                </c:pt>
                <c:pt idx="48">
                  <c:v>35.370136260990002</c:v>
                </c:pt>
                <c:pt idx="49">
                  <c:v>35.39697265625</c:v>
                </c:pt>
                <c:pt idx="50">
                  <c:v>35.398551940920001</c:v>
                </c:pt>
                <c:pt idx="51">
                  <c:v>35.396446228030001</c:v>
                </c:pt>
                <c:pt idx="52">
                  <c:v>35.397499084469999</c:v>
                </c:pt>
                <c:pt idx="53">
                  <c:v>35.40092086792</c:v>
                </c:pt>
                <c:pt idx="54">
                  <c:v>37.734954833979998</c:v>
                </c:pt>
                <c:pt idx="55">
                  <c:v>38.478233337399999</c:v>
                </c:pt>
                <c:pt idx="56">
                  <c:v>38.479286193850001</c:v>
                </c:pt>
                <c:pt idx="57">
                  <c:v>38.482971191410002</c:v>
                </c:pt>
                <c:pt idx="58">
                  <c:v>38.480865478520002</c:v>
                </c:pt>
                <c:pt idx="59">
                  <c:v>38.4850730896</c:v>
                </c:pt>
                <c:pt idx="60">
                  <c:v>39.260982513430001</c:v>
                </c:pt>
                <c:pt idx="61">
                  <c:v>41.731830596919998</c:v>
                </c:pt>
                <c:pt idx="62">
                  <c:v>41.75708770752</c:v>
                </c:pt>
                <c:pt idx="63">
                  <c:v>41.765510559079999</c:v>
                </c:pt>
                <c:pt idx="64">
                  <c:v>41.760513305659998</c:v>
                </c:pt>
                <c:pt idx="65">
                  <c:v>41.769454956049998</c:v>
                </c:pt>
                <c:pt idx="66">
                  <c:v>41.769981384280001</c:v>
                </c:pt>
                <c:pt idx="67">
                  <c:v>43.928787231450002</c:v>
                </c:pt>
                <c:pt idx="68">
                  <c:v>45.05883026123</c:v>
                </c:pt>
                <c:pt idx="69">
                  <c:v>45.068305969240001</c:v>
                </c:pt>
                <c:pt idx="70">
                  <c:v>45.074096679690001</c:v>
                </c:pt>
                <c:pt idx="71">
                  <c:v>45.079093933110002</c:v>
                </c:pt>
                <c:pt idx="72">
                  <c:v>45.071723937990001</c:v>
                </c:pt>
                <c:pt idx="73">
                  <c:v>45.495330810550001</c:v>
                </c:pt>
                <c:pt idx="74">
                  <c:v>48.251914978030001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75"/>
                <c:pt idx="0">
                  <c:v>5.0026901066299999E-2</c:v>
                </c:pt>
                <c:pt idx="1">
                  <c:v>0.1000199988484</c:v>
                </c:pt>
                <c:pt idx="2">
                  <c:v>0.15004350245</c:v>
                </c:pt>
                <c:pt idx="3">
                  <c:v>0.20000809431079999</c:v>
                </c:pt>
                <c:pt idx="4">
                  <c:v>0.24898439645770001</c:v>
                </c:pt>
                <c:pt idx="5">
                  <c:v>0.29999500513080002</c:v>
                </c:pt>
                <c:pt idx="6">
                  <c:v>0.35002970695500002</c:v>
                </c:pt>
                <c:pt idx="7">
                  <c:v>0.40003830194470003</c:v>
                </c:pt>
                <c:pt idx="8">
                  <c:v>0.45007109642030002</c:v>
                </c:pt>
                <c:pt idx="9">
                  <c:v>0.50001049041750001</c:v>
                </c:pt>
                <c:pt idx="10">
                  <c:v>0.54999411106109997</c:v>
                </c:pt>
                <c:pt idx="11">
                  <c:v>0.59900242090230005</c:v>
                </c:pt>
                <c:pt idx="12">
                  <c:v>0.64900118112560001</c:v>
                </c:pt>
                <c:pt idx="13">
                  <c:v>0.69999992847439996</c:v>
                </c:pt>
                <c:pt idx="14">
                  <c:v>0.75001317262650002</c:v>
                </c:pt>
                <c:pt idx="15">
                  <c:v>0.79901129007339999</c:v>
                </c:pt>
                <c:pt idx="16">
                  <c:v>0.84904891252519998</c:v>
                </c:pt>
                <c:pt idx="17">
                  <c:v>0.8990284204483</c:v>
                </c:pt>
                <c:pt idx="18">
                  <c:v>0.94897717237470003</c:v>
                </c:pt>
                <c:pt idx="19">
                  <c:v>0.99899548292160001</c:v>
                </c:pt>
                <c:pt idx="20">
                  <c:v>1.049013137817</c:v>
                </c:pt>
                <c:pt idx="21">
                  <c:v>1.100000023842</c:v>
                </c:pt>
                <c:pt idx="22">
                  <c:v>1.1500222682950001</c:v>
                </c:pt>
                <c:pt idx="23">
                  <c:v>1.199001669884</c:v>
                </c:pt>
                <c:pt idx="24">
                  <c:v>1.2489986419679999</c:v>
                </c:pt>
                <c:pt idx="25">
                  <c:v>1.298993587494</c:v>
                </c:pt>
                <c:pt idx="26">
                  <c:v>1.3489837646480001</c:v>
                </c:pt>
                <c:pt idx="27">
                  <c:v>1.3989995717999999</c:v>
                </c:pt>
                <c:pt idx="28">
                  <c:v>1.450057268143</c:v>
                </c:pt>
                <c:pt idx="29">
                  <c:v>1.499995350838</c:v>
                </c:pt>
                <c:pt idx="30">
                  <c:v>1.549997448921</c:v>
                </c:pt>
                <c:pt idx="31">
                  <c:v>1.5999952554700001</c:v>
                </c:pt>
                <c:pt idx="32">
                  <c:v>1.650065541267</c:v>
                </c:pt>
                <c:pt idx="33">
                  <c:v>1.7000163793559999</c:v>
                </c:pt>
                <c:pt idx="34">
                  <c:v>1.749973654747</c:v>
                </c:pt>
                <c:pt idx="35">
                  <c:v>1.7999862432480001</c:v>
                </c:pt>
                <c:pt idx="36">
                  <c:v>1.8500230312349999</c:v>
                </c:pt>
                <c:pt idx="37">
                  <c:v>1.9000144004820001</c:v>
                </c:pt>
                <c:pt idx="38">
                  <c:v>1.950034618378</c:v>
                </c:pt>
                <c:pt idx="39">
                  <c:v>1.9989746809010001</c:v>
                </c:pt>
                <c:pt idx="40">
                  <c:v>2.0489823818209998</c:v>
                </c:pt>
                <c:pt idx="41">
                  <c:v>2.0999991893769998</c:v>
                </c:pt>
                <c:pt idx="42">
                  <c:v>2.1499972343440001</c:v>
                </c:pt>
                <c:pt idx="43">
                  <c:v>2.1999812126160001</c:v>
                </c:pt>
                <c:pt idx="44">
                  <c:v>2.2500011920929999</c:v>
                </c:pt>
                <c:pt idx="45">
                  <c:v>2.299991369247</c:v>
                </c:pt>
                <c:pt idx="46">
                  <c:v>2.3500137329099999</c:v>
                </c:pt>
                <c:pt idx="47">
                  <c:v>2.3989946842190002</c:v>
                </c:pt>
                <c:pt idx="48">
                  <c:v>2.4490132331850001</c:v>
                </c:pt>
                <c:pt idx="49">
                  <c:v>2.4989910125730002</c:v>
                </c:pt>
                <c:pt idx="50">
                  <c:v>2.5489997863770002</c:v>
                </c:pt>
                <c:pt idx="51">
                  <c:v>2.5989952087399999</c:v>
                </c:pt>
                <c:pt idx="52">
                  <c:v>2.648993730545</c:v>
                </c:pt>
                <c:pt idx="53">
                  <c:v>2.6990292072300002</c:v>
                </c:pt>
                <c:pt idx="54">
                  <c:v>2.748993635178</c:v>
                </c:pt>
                <c:pt idx="55">
                  <c:v>2.79900431633</c:v>
                </c:pt>
                <c:pt idx="56">
                  <c:v>2.8489801883700001</c:v>
                </c:pt>
                <c:pt idx="57">
                  <c:v>2.899046182632</c:v>
                </c:pt>
                <c:pt idx="58">
                  <c:v>2.9489943981170001</c:v>
                </c:pt>
                <c:pt idx="59">
                  <c:v>2.9990248680109999</c:v>
                </c:pt>
                <c:pt idx="60">
                  <c:v>3.048993587494</c:v>
                </c:pt>
                <c:pt idx="61">
                  <c:v>3.0990614891049999</c:v>
                </c:pt>
                <c:pt idx="62">
                  <c:v>3.1489980220790001</c:v>
                </c:pt>
                <c:pt idx="63">
                  <c:v>3.1990544795989999</c:v>
                </c:pt>
                <c:pt idx="64">
                  <c:v>3.248991966248</c:v>
                </c:pt>
                <c:pt idx="65">
                  <c:v>3.2989933490749999</c:v>
                </c:pt>
                <c:pt idx="66">
                  <c:v>3.3490264415739999</c:v>
                </c:pt>
                <c:pt idx="67">
                  <c:v>3.399007558823</c:v>
                </c:pt>
                <c:pt idx="68">
                  <c:v>3.4489893913270002</c:v>
                </c:pt>
                <c:pt idx="69">
                  <c:v>3.4989871978760001</c:v>
                </c:pt>
                <c:pt idx="70">
                  <c:v>3.5489962100980001</c:v>
                </c:pt>
                <c:pt idx="71">
                  <c:v>3.5989906787870001</c:v>
                </c:pt>
                <c:pt idx="72">
                  <c:v>3.648993730545</c:v>
                </c:pt>
                <c:pt idx="73">
                  <c:v>3.6990082263950002</c:v>
                </c:pt>
                <c:pt idx="74">
                  <c:v>3.74902677536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75"/>
                <c:pt idx="0">
                  <c:v>15.77594184875</c:v>
                </c:pt>
                <c:pt idx="1">
                  <c:v>15.77673053741</c:v>
                </c:pt>
                <c:pt idx="2">
                  <c:v>15.680695533750001</c:v>
                </c:pt>
                <c:pt idx="3">
                  <c:v>15.68385314941</c:v>
                </c:pt>
                <c:pt idx="4">
                  <c:v>15.682537078859999</c:v>
                </c:pt>
                <c:pt idx="5">
                  <c:v>15.681748390199999</c:v>
                </c:pt>
                <c:pt idx="6">
                  <c:v>15.675959587099999</c:v>
                </c:pt>
                <c:pt idx="7">
                  <c:v>15.686221122739999</c:v>
                </c:pt>
                <c:pt idx="8">
                  <c:v>15.96511650085</c:v>
                </c:pt>
                <c:pt idx="9">
                  <c:v>16.082725524899999</c:v>
                </c:pt>
                <c:pt idx="10">
                  <c:v>16.079305648799998</c:v>
                </c:pt>
                <c:pt idx="11">
                  <c:v>16.076936721799999</c:v>
                </c:pt>
                <c:pt idx="12">
                  <c:v>16.079042434689999</c:v>
                </c:pt>
                <c:pt idx="13">
                  <c:v>16.081935882570001</c:v>
                </c:pt>
                <c:pt idx="14">
                  <c:v>16.305841445919999</c:v>
                </c:pt>
                <c:pt idx="15">
                  <c:v>18.85009765625</c:v>
                </c:pt>
                <c:pt idx="16">
                  <c:v>18.869567871089998</c:v>
                </c:pt>
                <c:pt idx="17">
                  <c:v>18.872200012210001</c:v>
                </c:pt>
                <c:pt idx="18">
                  <c:v>18.875883102420001</c:v>
                </c:pt>
                <c:pt idx="19">
                  <c:v>18.89114189148</c:v>
                </c:pt>
                <c:pt idx="20">
                  <c:v>18.887195587160001</c:v>
                </c:pt>
                <c:pt idx="21">
                  <c:v>20.670806884769998</c:v>
                </c:pt>
                <c:pt idx="22">
                  <c:v>22.074752807620001</c:v>
                </c:pt>
                <c:pt idx="23">
                  <c:v>22.080013275150002</c:v>
                </c:pt>
                <c:pt idx="24">
                  <c:v>22.082118988040001</c:v>
                </c:pt>
                <c:pt idx="25">
                  <c:v>22.086065292360001</c:v>
                </c:pt>
                <c:pt idx="26">
                  <c:v>22.083698272709999</c:v>
                </c:pt>
                <c:pt idx="27">
                  <c:v>22.141580581669999</c:v>
                </c:pt>
                <c:pt idx="28">
                  <c:v>25.335189819339998</c:v>
                </c:pt>
                <c:pt idx="29">
                  <c:v>25.492792129520002</c:v>
                </c:pt>
                <c:pt idx="30">
                  <c:v>25.49358177185</c:v>
                </c:pt>
                <c:pt idx="31">
                  <c:v>25.499895095829999</c:v>
                </c:pt>
                <c:pt idx="32">
                  <c:v>25.492792129520002</c:v>
                </c:pt>
                <c:pt idx="33">
                  <c:v>25.503314971919998</c:v>
                </c:pt>
                <c:pt idx="34">
                  <c:v>27.030132293699999</c:v>
                </c:pt>
                <c:pt idx="35">
                  <c:v>28.89820098877</c:v>
                </c:pt>
                <c:pt idx="36">
                  <c:v>28.901357650760001</c:v>
                </c:pt>
                <c:pt idx="37">
                  <c:v>28.902673721309998</c:v>
                </c:pt>
                <c:pt idx="38">
                  <c:v>28.89846420288</c:v>
                </c:pt>
                <c:pt idx="39">
                  <c:v>28.907409667970001</c:v>
                </c:pt>
                <c:pt idx="40">
                  <c:v>28.921091079709999</c:v>
                </c:pt>
                <c:pt idx="41">
                  <c:v>31.764764785770002</c:v>
                </c:pt>
                <c:pt idx="42">
                  <c:v>32.197315216059998</c:v>
                </c:pt>
                <c:pt idx="43">
                  <c:v>32.20599746704</c:v>
                </c:pt>
                <c:pt idx="44">
                  <c:v>32.200733184809998</c:v>
                </c:pt>
                <c:pt idx="45">
                  <c:v>32.20599746704</c:v>
                </c:pt>
                <c:pt idx="46">
                  <c:v>32.21336364746</c:v>
                </c:pt>
                <c:pt idx="47">
                  <c:v>33.31341934204</c:v>
                </c:pt>
                <c:pt idx="48">
                  <c:v>35.370136260990002</c:v>
                </c:pt>
                <c:pt idx="49">
                  <c:v>35.39697265625</c:v>
                </c:pt>
                <c:pt idx="50">
                  <c:v>35.398551940920001</c:v>
                </c:pt>
                <c:pt idx="51">
                  <c:v>35.396446228030001</c:v>
                </c:pt>
                <c:pt idx="52">
                  <c:v>35.397499084469999</c:v>
                </c:pt>
                <c:pt idx="53">
                  <c:v>35.40092086792</c:v>
                </c:pt>
                <c:pt idx="54">
                  <c:v>37.734954833979998</c:v>
                </c:pt>
                <c:pt idx="55">
                  <c:v>38.478233337399999</c:v>
                </c:pt>
                <c:pt idx="56">
                  <c:v>38.479286193850001</c:v>
                </c:pt>
                <c:pt idx="57">
                  <c:v>38.482971191410002</c:v>
                </c:pt>
                <c:pt idx="58">
                  <c:v>38.480865478520002</c:v>
                </c:pt>
                <c:pt idx="59">
                  <c:v>38.4850730896</c:v>
                </c:pt>
                <c:pt idx="60">
                  <c:v>39.260982513430001</c:v>
                </c:pt>
                <c:pt idx="61">
                  <c:v>41.731830596919998</c:v>
                </c:pt>
                <c:pt idx="62">
                  <c:v>41.75708770752</c:v>
                </c:pt>
                <c:pt idx="63">
                  <c:v>41.765510559079999</c:v>
                </c:pt>
                <c:pt idx="64">
                  <c:v>41.760513305659998</c:v>
                </c:pt>
                <c:pt idx="65">
                  <c:v>41.769454956049998</c:v>
                </c:pt>
                <c:pt idx="66">
                  <c:v>41.769981384280001</c:v>
                </c:pt>
                <c:pt idx="67">
                  <c:v>43.928787231450002</c:v>
                </c:pt>
                <c:pt idx="68">
                  <c:v>45.05883026123</c:v>
                </c:pt>
                <c:pt idx="69">
                  <c:v>45.068305969240001</c:v>
                </c:pt>
                <c:pt idx="70">
                  <c:v>45.074096679690001</c:v>
                </c:pt>
                <c:pt idx="71">
                  <c:v>45.079093933110002</c:v>
                </c:pt>
                <c:pt idx="72">
                  <c:v>45.071723937990001</c:v>
                </c:pt>
                <c:pt idx="73">
                  <c:v>45.495330810550001</c:v>
                </c:pt>
                <c:pt idx="74">
                  <c:v>48.251914978030001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02-432D-AFFC-8F80139C6048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02-432D-AFFC-8F80139C6048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02-432D-AFFC-8F80139C6048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902-432D-AFFC-8F80139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E25" sqref="E25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3"/>
      <c r="C1" s="53"/>
      <c r="D1" s="53"/>
      <c r="E1" s="53"/>
      <c r="F1" s="53"/>
      <c r="G1" s="53"/>
      <c r="H1" s="53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5.0026901066299999E-2</v>
      </c>
      <c r="L5" s="25">
        <v>15.77594184875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5.0026901066299999E-2</v>
      </c>
      <c r="BB5">
        <f t="shared" ref="BA5:BJ20" si="0">IF((L5)&lt;&gt;0,(L5),"")</f>
        <v>15.77594184875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4"/>
      <c r="F6" s="55"/>
      <c r="G6" s="56"/>
      <c r="J6" s="7"/>
      <c r="K6" s="8">
        <v>0.1000199988484</v>
      </c>
      <c r="L6" s="25">
        <v>15.77673053741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0.1000199988484</v>
      </c>
      <c r="BB6">
        <f t="shared" si="0"/>
        <v>15.77673053741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0.15004350245</v>
      </c>
      <c r="L7" s="25">
        <v>15.680695533750001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0.15004350245</v>
      </c>
      <c r="BB7">
        <f t="shared" si="0"/>
        <v>15.680695533750001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32</v>
      </c>
      <c r="J8" s="7"/>
      <c r="K8" s="8">
        <v>0.20000809431079999</v>
      </c>
      <c r="L8" s="25">
        <v>15.68385314941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0.20000809431079999</v>
      </c>
      <c r="BB8">
        <f t="shared" si="0"/>
        <v>15.68385314941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0.24898439645770001</v>
      </c>
      <c r="L9" s="25">
        <v>15.682537078859999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0.24898439645770001</v>
      </c>
      <c r="BB9">
        <f t="shared" si="0"/>
        <v>15.682537078859999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0.29999500513080002</v>
      </c>
      <c r="L10" s="25">
        <v>15.681748390199999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0.29999500513080002</v>
      </c>
      <c r="BB10">
        <f t="shared" si="0"/>
        <v>15.681748390199999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0.35002970695500002</v>
      </c>
      <c r="L11" s="25">
        <v>15.675959587099999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0.35002970695500002</v>
      </c>
      <c r="BB11">
        <f t="shared" si="0"/>
        <v>15.675959587099999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0.40003830194470003</v>
      </c>
      <c r="L12" s="25">
        <v>15.686221122739999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0.40003830194470003</v>
      </c>
      <c r="BB12">
        <f t="shared" si="0"/>
        <v>15.686221122739999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0.45007109642030002</v>
      </c>
      <c r="L13" s="25">
        <v>15.96511650085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0.45007109642030002</v>
      </c>
      <c r="BB13">
        <f t="shared" si="0"/>
        <v>15.96511650085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0.50001049041750001</v>
      </c>
      <c r="L14" s="25">
        <v>16.082725524899999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0.50001049041750001</v>
      </c>
      <c r="BB14">
        <f t="shared" si="0"/>
        <v>16.082725524899999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0.54999411106109997</v>
      </c>
      <c r="L15" s="25">
        <v>16.079305648799998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0.54999411106109997</v>
      </c>
      <c r="BB15">
        <f t="shared" si="0"/>
        <v>16.079305648799998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0.59900242090230005</v>
      </c>
      <c r="L16" s="25">
        <v>16.076936721799999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0.59900242090230005</v>
      </c>
      <c r="BB16">
        <f t="shared" si="0"/>
        <v>16.076936721799999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 t="s">
        <v>33</v>
      </c>
      <c r="J17" s="7"/>
      <c r="K17" s="8">
        <v>0.64900118112560001</v>
      </c>
      <c r="L17" s="25">
        <v>16.079042434689999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0.64900118112560001</v>
      </c>
      <c r="BB17">
        <f t="shared" si="0"/>
        <v>16.079042434689999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0.45833333333333331</v>
      </c>
      <c r="J18" s="7"/>
      <c r="K18" s="8">
        <v>0.69999992847439996</v>
      </c>
      <c r="L18" s="25">
        <v>16.081935882570001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0.69999992847439996</v>
      </c>
      <c r="BB18">
        <f t="shared" si="0"/>
        <v>16.081935882570001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0.75001317262650002</v>
      </c>
      <c r="L19" s="25">
        <v>16.305841445919999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0.75001317262650002</v>
      </c>
      <c r="BB19">
        <f t="shared" si="0"/>
        <v>16.305841445919999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0.79901129007339999</v>
      </c>
      <c r="L20" s="25">
        <v>18.85009765625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0.79901129007339999</v>
      </c>
      <c r="BB20">
        <f t="shared" si="0"/>
        <v>18.85009765625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0.84904891252519998</v>
      </c>
      <c r="L21" s="25">
        <v>18.869567871089998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0.84904891252519998</v>
      </c>
      <c r="BB21">
        <f t="shared" ref="BB21:BD84" si="7">IF((L21)&lt;&gt;0,(L21),"")</f>
        <v>18.869567871089998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0.8990284204483</v>
      </c>
      <c r="L22" s="25">
        <v>18.872200012210001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0.8990284204483</v>
      </c>
      <c r="BB22">
        <f t="shared" si="7"/>
        <v>18.872200012210001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0.94897717237470003</v>
      </c>
      <c r="L23" s="25">
        <v>18.875883102420001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0.94897717237470003</v>
      </c>
      <c r="BB23">
        <f t="shared" si="7"/>
        <v>18.875883102420001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0.99899548292160001</v>
      </c>
      <c r="L24" s="25">
        <v>18.89114189148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0.99899548292160001</v>
      </c>
      <c r="BB24">
        <f t="shared" si="7"/>
        <v>18.89114189148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59">
        <v>1</v>
      </c>
      <c r="J25" s="7"/>
      <c r="K25" s="8">
        <v>1.049013137817</v>
      </c>
      <c r="L25" s="25">
        <v>18.887195587160001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1.049013137817</v>
      </c>
      <c r="BB25">
        <f t="shared" si="7"/>
        <v>18.887195587160001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1.100000023842</v>
      </c>
      <c r="L26" s="25">
        <v>20.670806884769998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1.100000023842</v>
      </c>
      <c r="BB26">
        <f t="shared" si="7"/>
        <v>20.670806884769998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1.1500222682950001</v>
      </c>
      <c r="L27" s="25">
        <v>22.074752807620001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1.1500222682950001</v>
      </c>
      <c r="BB27">
        <f t="shared" si="7"/>
        <v>22.074752807620001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1.199001669884</v>
      </c>
      <c r="L28" s="25">
        <v>22.080013275150002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1.199001669884</v>
      </c>
      <c r="BB28">
        <f t="shared" si="7"/>
        <v>22.080013275150002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1.2489986419679999</v>
      </c>
      <c r="L29" s="25">
        <v>22.082118988040001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1.2489986419679999</v>
      </c>
      <c r="BB29">
        <f t="shared" si="7"/>
        <v>22.082118988040001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1.298993587494</v>
      </c>
      <c r="L30" s="25">
        <v>22.086065292360001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1.298993587494</v>
      </c>
      <c r="BB30">
        <f t="shared" si="7"/>
        <v>22.086065292360001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1.3489837646480001</v>
      </c>
      <c r="L31" s="25">
        <v>22.083698272709999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1.3489837646480001</v>
      </c>
      <c r="BB31">
        <f t="shared" si="7"/>
        <v>22.083698272709999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1.3989995717999999</v>
      </c>
      <c r="L32" s="25">
        <v>22.141580581669999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1.3989995717999999</v>
      </c>
      <c r="BB32">
        <f t="shared" si="7"/>
        <v>22.141580581669999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1.450057268143</v>
      </c>
      <c r="L33" s="25">
        <v>25.335189819339998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1.450057268143</v>
      </c>
      <c r="BB33">
        <f t="shared" si="7"/>
        <v>25.335189819339998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1.499995350838</v>
      </c>
      <c r="L34" s="25">
        <v>25.492792129520002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1.499995350838</v>
      </c>
      <c r="BB34">
        <f t="shared" si="7"/>
        <v>25.492792129520002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1.549997448921</v>
      </c>
      <c r="L35" s="25">
        <v>25.49358177185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1.549997448921</v>
      </c>
      <c r="BB35">
        <f t="shared" si="7"/>
        <v>25.49358177185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1.5999952554700001</v>
      </c>
      <c r="L36" s="25">
        <v>25.499895095829999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1.5999952554700001</v>
      </c>
      <c r="BB36">
        <f t="shared" si="7"/>
        <v>25.499895095829999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1.650065541267</v>
      </c>
      <c r="L37" s="25">
        <v>25.492792129520002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1.650065541267</v>
      </c>
      <c r="BB37">
        <f t="shared" si="7"/>
        <v>25.492792129520002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1.7000163793559999</v>
      </c>
      <c r="L38" s="25">
        <v>25.503314971919998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1.7000163793559999</v>
      </c>
      <c r="BB38">
        <f t="shared" si="7"/>
        <v>25.503314971919998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1.749973654747</v>
      </c>
      <c r="L39" s="25">
        <v>27.030132293699999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1.749973654747</v>
      </c>
      <c r="BB39">
        <f t="shared" si="7"/>
        <v>27.030132293699999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1.7999862432480001</v>
      </c>
      <c r="L40" s="25">
        <v>28.89820098877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1.7999862432480001</v>
      </c>
      <c r="BB40">
        <f t="shared" si="7"/>
        <v>28.89820098877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1.8500230312349999</v>
      </c>
      <c r="L41" s="25">
        <v>28.901357650760001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1.8500230312349999</v>
      </c>
      <c r="BB41">
        <f t="shared" si="7"/>
        <v>28.901357650760001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1.9000144004820001</v>
      </c>
      <c r="L42" s="25">
        <v>28.902673721309998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1.9000144004820001</v>
      </c>
      <c r="BB42">
        <f t="shared" si="7"/>
        <v>28.902673721309998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1.950034618378</v>
      </c>
      <c r="L43" s="25">
        <v>28.89846420288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1.950034618378</v>
      </c>
      <c r="BB43">
        <f t="shared" si="7"/>
        <v>28.89846420288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1.9989746809010001</v>
      </c>
      <c r="L44" s="25">
        <v>28.907409667970001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1.9989746809010001</v>
      </c>
      <c r="BB44">
        <f t="shared" si="7"/>
        <v>28.907409667970001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2.0489823818209998</v>
      </c>
      <c r="L45" s="25">
        <v>28.921091079709999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2.0489823818209998</v>
      </c>
      <c r="BB45">
        <f t="shared" si="7"/>
        <v>28.921091079709999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2.0999991893769998</v>
      </c>
      <c r="L46" s="25">
        <v>31.764764785770002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2.0999991893769998</v>
      </c>
      <c r="BB46">
        <f t="shared" si="7"/>
        <v>31.764764785770002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2.1499972343440001</v>
      </c>
      <c r="L47" s="25">
        <v>32.197315216059998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2.1499972343440001</v>
      </c>
      <c r="BB47">
        <f t="shared" si="7"/>
        <v>32.197315216059998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2.1999812126160001</v>
      </c>
      <c r="L48" s="25">
        <v>32.20599746704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2.1999812126160001</v>
      </c>
      <c r="BB48">
        <f t="shared" si="7"/>
        <v>32.20599746704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2.2500011920929999</v>
      </c>
      <c r="L49" s="25">
        <v>32.200733184809998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2.2500011920929999</v>
      </c>
      <c r="BB49">
        <f t="shared" si="7"/>
        <v>32.200733184809998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2.299991369247</v>
      </c>
      <c r="L50" s="25">
        <v>32.20599746704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2.299991369247</v>
      </c>
      <c r="BB50">
        <f t="shared" si="7"/>
        <v>32.20599746704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2.3500137329099999</v>
      </c>
      <c r="L51" s="25">
        <v>32.21336364746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2.3500137329099999</v>
      </c>
      <c r="BB51">
        <f t="shared" si="7"/>
        <v>32.21336364746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2.3989946842190002</v>
      </c>
      <c r="L52" s="25">
        <v>33.31341934204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2.3989946842190002</v>
      </c>
      <c r="BB52">
        <f t="shared" si="7"/>
        <v>33.31341934204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2.4490132331850001</v>
      </c>
      <c r="L53" s="25">
        <v>35.370136260990002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2.4490132331850001</v>
      </c>
      <c r="BB53">
        <f t="shared" si="7"/>
        <v>35.370136260990002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2.4989910125730002</v>
      </c>
      <c r="L54" s="25">
        <v>35.39697265625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2.4989910125730002</v>
      </c>
      <c r="BB54">
        <f t="shared" si="7"/>
        <v>35.39697265625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2.5489997863770002</v>
      </c>
      <c r="L55" s="25">
        <v>35.398551940920001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2.5489997863770002</v>
      </c>
      <c r="BB55">
        <f t="shared" si="7"/>
        <v>35.398551940920001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2.5989952087399999</v>
      </c>
      <c r="L56" s="25">
        <v>35.396446228030001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2.5989952087399999</v>
      </c>
      <c r="BB56">
        <f t="shared" si="7"/>
        <v>35.396446228030001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2.648993730545</v>
      </c>
      <c r="L57" s="25">
        <v>35.397499084469999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2.648993730545</v>
      </c>
      <c r="BB57">
        <f t="shared" si="7"/>
        <v>35.397499084469999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2.6990292072300002</v>
      </c>
      <c r="L58" s="25">
        <v>35.40092086792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2.6990292072300002</v>
      </c>
      <c r="BB58">
        <f t="shared" si="7"/>
        <v>35.40092086792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2.748993635178</v>
      </c>
      <c r="L59" s="25">
        <v>37.734954833979998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2.748993635178</v>
      </c>
      <c r="BB59">
        <f t="shared" si="7"/>
        <v>37.734954833979998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2.79900431633</v>
      </c>
      <c r="L60" s="25">
        <v>38.478233337399999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2.79900431633</v>
      </c>
      <c r="BB60">
        <f t="shared" si="7"/>
        <v>38.478233337399999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2.8489801883700001</v>
      </c>
      <c r="L61" s="25">
        <v>38.479286193850001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2.8489801883700001</v>
      </c>
      <c r="BB61">
        <f t="shared" si="7"/>
        <v>38.479286193850001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2.899046182632</v>
      </c>
      <c r="L62" s="25">
        <v>38.482971191410002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2.899046182632</v>
      </c>
      <c r="BB62">
        <f t="shared" si="7"/>
        <v>38.482971191410002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2.9489943981170001</v>
      </c>
      <c r="L63" s="25">
        <v>38.480865478520002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2.9489943981170001</v>
      </c>
      <c r="BB63">
        <f t="shared" si="7"/>
        <v>38.480865478520002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2.9990248680109999</v>
      </c>
      <c r="L64" s="25">
        <v>38.4850730896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2.9990248680109999</v>
      </c>
      <c r="BB64">
        <f t="shared" si="7"/>
        <v>38.4850730896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3.048993587494</v>
      </c>
      <c r="L65" s="25">
        <v>39.260982513430001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3.048993587494</v>
      </c>
      <c r="BB65">
        <f t="shared" si="7"/>
        <v>39.260982513430001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3.0990614891049999</v>
      </c>
      <c r="L66" s="25">
        <v>41.731830596919998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3.0990614891049999</v>
      </c>
      <c r="BB66">
        <f t="shared" si="7"/>
        <v>41.731830596919998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3.1489980220790001</v>
      </c>
      <c r="L67" s="25">
        <v>41.75708770752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3.1489980220790001</v>
      </c>
      <c r="BB67">
        <f t="shared" si="7"/>
        <v>41.75708770752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3.1990544795989999</v>
      </c>
      <c r="L68" s="25">
        <v>41.765510559079999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3.1990544795989999</v>
      </c>
      <c r="BB68">
        <f t="shared" si="7"/>
        <v>41.765510559079999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3.248991966248</v>
      </c>
      <c r="L69" s="25">
        <v>41.760513305659998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3.248991966248</v>
      </c>
      <c r="BB69">
        <f t="shared" si="7"/>
        <v>41.760513305659998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3.2989933490749999</v>
      </c>
      <c r="L70" s="25">
        <v>41.769454956049998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3.2989933490749999</v>
      </c>
      <c r="BB70">
        <f t="shared" si="7"/>
        <v>41.769454956049998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3.3490264415739999</v>
      </c>
      <c r="L71" s="25">
        <v>41.769981384280001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3.3490264415739999</v>
      </c>
      <c r="BB71">
        <f t="shared" si="7"/>
        <v>41.769981384280001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3.399007558823</v>
      </c>
      <c r="L72" s="25">
        <v>43.928787231450002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3.399007558823</v>
      </c>
      <c r="BB72">
        <f t="shared" si="7"/>
        <v>43.928787231450002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3.4489893913270002</v>
      </c>
      <c r="L73" s="25">
        <v>45.05883026123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3.4489893913270002</v>
      </c>
      <c r="BB73">
        <f t="shared" si="7"/>
        <v>45.05883026123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3.4989871978760001</v>
      </c>
      <c r="L74" s="25">
        <v>45.068305969240001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3.4989871978760001</v>
      </c>
      <c r="BB74">
        <f t="shared" si="7"/>
        <v>45.068305969240001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3.5489962100980001</v>
      </c>
      <c r="L75" s="25">
        <v>45.074096679690001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3.5489962100980001</v>
      </c>
      <c r="BB75">
        <f t="shared" si="7"/>
        <v>45.074096679690001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3.5989906787870001</v>
      </c>
      <c r="L76" s="25">
        <v>45.079093933110002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3.5989906787870001</v>
      </c>
      <c r="BB76">
        <f t="shared" si="7"/>
        <v>45.079093933110002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3.648993730545</v>
      </c>
      <c r="L77" s="25">
        <v>45.071723937990001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3.648993730545</v>
      </c>
      <c r="BB77">
        <f t="shared" si="7"/>
        <v>45.071723937990001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3.6990082263950002</v>
      </c>
      <c r="L78" s="25">
        <v>45.495330810550001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3.6990082263950002</v>
      </c>
      <c r="BB78">
        <f t="shared" si="7"/>
        <v>45.495330810550001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3.74902677536</v>
      </c>
      <c r="L79" s="25">
        <v>48.251914978030001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3.74902677536</v>
      </c>
      <c r="BB79">
        <f t="shared" si="7"/>
        <v>48.251914978030001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0</v>
      </c>
      <c r="L80" s="25">
        <v>0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 t="str">
        <f t="shared" si="6"/>
        <v/>
      </c>
      <c r="BB80" t="str">
        <f t="shared" si="7"/>
        <v/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0</v>
      </c>
      <c r="L81" s="25">
        <v>0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 t="str">
        <f t="shared" si="6"/>
        <v/>
      </c>
      <c r="BB81" t="str">
        <f t="shared" si="7"/>
        <v/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0</v>
      </c>
      <c r="L82" s="25">
        <v>0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 t="str">
        <f t="shared" si="6"/>
        <v/>
      </c>
      <c r="BB82" t="str">
        <f t="shared" si="7"/>
        <v/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0</v>
      </c>
      <c r="L83" s="25">
        <v>0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 t="str">
        <f t="shared" si="6"/>
        <v/>
      </c>
      <c r="BB83" t="str">
        <f t="shared" si="7"/>
        <v/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0</v>
      </c>
      <c r="L84" s="25">
        <v>0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 t="str">
        <f t="shared" si="6"/>
        <v/>
      </c>
      <c r="BB84" t="str">
        <f t="shared" si="7"/>
        <v/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0</v>
      </c>
      <c r="L85" s="25">
        <v>0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 t="str">
        <f t="shared" ref="BA85:BA148" si="12">IF((K85)&lt;&gt;0,(K85),"")</f>
        <v/>
      </c>
      <c r="BB85" t="str">
        <f t="shared" ref="BB85:BJ148" si="13">IF((L85)&lt;&gt;0,(L85),"")</f>
        <v/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0</v>
      </c>
      <c r="L86" s="25">
        <v>0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 t="str">
        <f t="shared" si="12"/>
        <v/>
      </c>
      <c r="BB86" t="str">
        <f t="shared" si="13"/>
        <v/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0</v>
      </c>
      <c r="L87" s="25">
        <v>0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 t="str">
        <f t="shared" si="12"/>
        <v/>
      </c>
      <c r="BB87" t="str">
        <f t="shared" si="13"/>
        <v/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0</v>
      </c>
      <c r="L88" s="25">
        <v>0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 t="str">
        <f t="shared" si="12"/>
        <v/>
      </c>
      <c r="BB88" t="str">
        <f t="shared" si="13"/>
        <v/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0</v>
      </c>
      <c r="L89" s="25">
        <v>0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 t="str">
        <f t="shared" si="12"/>
        <v/>
      </c>
      <c r="BB89" t="str">
        <f t="shared" si="13"/>
        <v/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0</v>
      </c>
      <c r="L90" s="25">
        <v>0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 t="str">
        <f t="shared" si="12"/>
        <v/>
      </c>
      <c r="BB90" t="str">
        <f t="shared" si="13"/>
        <v/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0</v>
      </c>
      <c r="L91" s="25">
        <v>0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 t="str">
        <f t="shared" si="12"/>
        <v/>
      </c>
      <c r="BB91" t="str">
        <f t="shared" si="13"/>
        <v/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0</v>
      </c>
      <c r="L92" s="25">
        <v>0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 t="str">
        <f t="shared" si="12"/>
        <v/>
      </c>
      <c r="BB92" t="str">
        <f t="shared" si="13"/>
        <v/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0</v>
      </c>
      <c r="L93" s="25">
        <v>0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 t="str">
        <f t="shared" si="12"/>
        <v/>
      </c>
      <c r="BB93" t="str">
        <f t="shared" si="13"/>
        <v/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0</v>
      </c>
      <c r="L94" s="25">
        <v>0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 t="str">
        <f t="shared" si="12"/>
        <v/>
      </c>
      <c r="BB94" t="str">
        <f t="shared" si="13"/>
        <v/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0</v>
      </c>
      <c r="L95" s="25">
        <v>0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 t="str">
        <f t="shared" si="12"/>
        <v/>
      </c>
      <c r="BB95" t="str">
        <f t="shared" si="13"/>
        <v/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0</v>
      </c>
      <c r="L96" s="25">
        <v>0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 t="str">
        <f t="shared" si="12"/>
        <v/>
      </c>
      <c r="BB96" t="str">
        <f t="shared" si="13"/>
        <v/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0</v>
      </c>
      <c r="L97" s="25">
        <v>0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 t="str">
        <f t="shared" si="12"/>
        <v/>
      </c>
      <c r="BB97" t="str">
        <f t="shared" si="13"/>
        <v/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0</v>
      </c>
      <c r="L98" s="25">
        <v>0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 t="str">
        <f t="shared" si="12"/>
        <v/>
      </c>
      <c r="BB98" t="str">
        <f t="shared" si="13"/>
        <v/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0</v>
      </c>
      <c r="L99" s="25">
        <v>0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 t="str">
        <f t="shared" si="12"/>
        <v/>
      </c>
      <c r="BB99" t="str">
        <f t="shared" si="13"/>
        <v/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0</v>
      </c>
      <c r="L100" s="25">
        <v>0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 t="str">
        <f t="shared" si="12"/>
        <v/>
      </c>
      <c r="BB100" t="str">
        <f t="shared" si="13"/>
        <v/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0</v>
      </c>
      <c r="L101" s="25">
        <v>0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 t="str">
        <f t="shared" si="12"/>
        <v/>
      </c>
      <c r="BB101" t="str">
        <f t="shared" si="13"/>
        <v/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0</v>
      </c>
      <c r="L102" s="25">
        <v>0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 t="str">
        <f t="shared" si="12"/>
        <v/>
      </c>
      <c r="BB102" t="str">
        <f t="shared" si="13"/>
        <v/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0</v>
      </c>
      <c r="L103" s="25">
        <v>0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 t="str">
        <f t="shared" si="12"/>
        <v/>
      </c>
      <c r="BB103" t="str">
        <f t="shared" si="13"/>
        <v/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0</v>
      </c>
      <c r="L104" s="25">
        <v>0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 t="str">
        <f t="shared" si="12"/>
        <v/>
      </c>
      <c r="BB104" t="str">
        <f t="shared" si="13"/>
        <v/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0</v>
      </c>
      <c r="L105" s="25">
        <v>0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 t="str">
        <f t="shared" si="12"/>
        <v/>
      </c>
      <c r="BB105" t="str">
        <f t="shared" si="13"/>
        <v/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0</v>
      </c>
      <c r="L106" s="25">
        <v>0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 t="str">
        <f t="shared" si="12"/>
        <v/>
      </c>
      <c r="BB106" t="str">
        <f t="shared" si="13"/>
        <v/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0</v>
      </c>
      <c r="L107" s="25">
        <v>0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 t="str">
        <f t="shared" si="12"/>
        <v/>
      </c>
      <c r="BB107" t="str">
        <f t="shared" si="13"/>
        <v/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0</v>
      </c>
      <c r="L108" s="25">
        <v>0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 t="str">
        <f t="shared" si="12"/>
        <v/>
      </c>
      <c r="BB108" t="str">
        <f t="shared" si="13"/>
        <v/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0</v>
      </c>
      <c r="L109" s="25">
        <v>0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 t="str">
        <f t="shared" si="12"/>
        <v/>
      </c>
      <c r="BB109" t="str">
        <f t="shared" si="13"/>
        <v/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0</v>
      </c>
      <c r="L110" s="25">
        <v>0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 t="str">
        <f t="shared" si="12"/>
        <v/>
      </c>
      <c r="BB110" t="str">
        <f t="shared" si="13"/>
        <v/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0</v>
      </c>
      <c r="L111" s="25">
        <v>0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 t="str">
        <f t="shared" si="12"/>
        <v/>
      </c>
      <c r="BB111" t="str">
        <f t="shared" si="13"/>
        <v/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0</v>
      </c>
      <c r="L112" s="25">
        <v>0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 t="str">
        <f t="shared" si="12"/>
        <v/>
      </c>
      <c r="BB112" t="str">
        <f t="shared" si="13"/>
        <v/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0</v>
      </c>
      <c r="L113" s="25">
        <v>0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 t="str">
        <f t="shared" si="12"/>
        <v/>
      </c>
      <c r="BB113" t="str">
        <f t="shared" si="13"/>
        <v/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0</v>
      </c>
      <c r="L114" s="25">
        <v>0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 t="str">
        <f t="shared" si="12"/>
        <v/>
      </c>
      <c r="BB114" t="str">
        <f t="shared" si="13"/>
        <v/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0</v>
      </c>
      <c r="L115" s="25">
        <v>0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 t="str">
        <f t="shared" si="12"/>
        <v/>
      </c>
      <c r="BB115" t="str">
        <f t="shared" si="13"/>
        <v/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0</v>
      </c>
      <c r="L116" s="25">
        <v>0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 t="str">
        <f t="shared" si="12"/>
        <v/>
      </c>
      <c r="BB116" t="str">
        <f t="shared" si="13"/>
        <v/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0</v>
      </c>
      <c r="L117" s="25">
        <v>0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 t="str">
        <f t="shared" si="12"/>
        <v/>
      </c>
      <c r="BB117" t="str">
        <f t="shared" si="13"/>
        <v/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0</v>
      </c>
      <c r="L118" s="25">
        <v>0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 t="str">
        <f t="shared" si="12"/>
        <v/>
      </c>
      <c r="BB118" t="str">
        <f t="shared" si="13"/>
        <v/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0</v>
      </c>
      <c r="L119" s="25">
        <v>0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 t="str">
        <f t="shared" si="12"/>
        <v/>
      </c>
      <c r="BB119" t="str">
        <f t="shared" si="13"/>
        <v/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0</v>
      </c>
      <c r="L120" s="25">
        <v>0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 t="str">
        <f t="shared" si="12"/>
        <v/>
      </c>
      <c r="BB120" t="str">
        <f t="shared" si="13"/>
        <v/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0</v>
      </c>
      <c r="L121" s="25">
        <v>0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 t="str">
        <f t="shared" si="12"/>
        <v/>
      </c>
      <c r="BB121" t="str">
        <f t="shared" si="13"/>
        <v/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0</v>
      </c>
      <c r="L122" s="25">
        <v>0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 t="str">
        <f t="shared" si="12"/>
        <v/>
      </c>
      <c r="BB122" t="str">
        <f t="shared" si="13"/>
        <v/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0</v>
      </c>
      <c r="L123" s="25">
        <v>0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 t="str">
        <f t="shared" si="12"/>
        <v/>
      </c>
      <c r="BB123" t="str">
        <f t="shared" si="13"/>
        <v/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0</v>
      </c>
      <c r="L124" s="25">
        <v>0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 t="str">
        <f t="shared" si="12"/>
        <v/>
      </c>
      <c r="BB124" t="str">
        <f t="shared" si="13"/>
        <v/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0</v>
      </c>
      <c r="L125" s="25">
        <v>0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 t="str">
        <f t="shared" si="12"/>
        <v/>
      </c>
      <c r="BB125" t="str">
        <f t="shared" si="13"/>
        <v/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0</v>
      </c>
      <c r="L126" s="25">
        <v>0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 t="str">
        <f t="shared" si="12"/>
        <v/>
      </c>
      <c r="BB126" t="str">
        <f t="shared" si="13"/>
        <v/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0</v>
      </c>
      <c r="L127" s="25">
        <v>0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 t="str">
        <f t="shared" si="12"/>
        <v/>
      </c>
      <c r="BB127" t="str">
        <f t="shared" si="13"/>
        <v/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0</v>
      </c>
      <c r="L128" s="25">
        <v>0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 t="str">
        <f t="shared" si="12"/>
        <v/>
      </c>
      <c r="BB128" t="str">
        <f t="shared" si="13"/>
        <v/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0</v>
      </c>
      <c r="L129" s="25">
        <v>0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 t="str">
        <f t="shared" si="12"/>
        <v/>
      </c>
      <c r="BB129" t="str">
        <f t="shared" si="13"/>
        <v/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0</v>
      </c>
      <c r="L130" s="25">
        <v>0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 t="str">
        <f t="shared" si="12"/>
        <v/>
      </c>
      <c r="BB130" t="str">
        <f t="shared" si="13"/>
        <v/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0</v>
      </c>
      <c r="L131" s="25">
        <v>0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 t="str">
        <f t="shared" si="12"/>
        <v/>
      </c>
      <c r="BB131" t="str">
        <f t="shared" si="13"/>
        <v/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0</v>
      </c>
      <c r="L132" s="25">
        <v>0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 t="str">
        <f t="shared" si="12"/>
        <v/>
      </c>
      <c r="BB132" t="str">
        <f t="shared" si="13"/>
        <v/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0</v>
      </c>
      <c r="L133" s="25">
        <v>0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 t="str">
        <f t="shared" si="12"/>
        <v/>
      </c>
      <c r="BB133" t="str">
        <f t="shared" si="13"/>
        <v/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0</v>
      </c>
      <c r="L134" s="25">
        <v>0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 t="str">
        <f t="shared" si="12"/>
        <v/>
      </c>
      <c r="BB134" t="str">
        <f t="shared" si="13"/>
        <v/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0</v>
      </c>
      <c r="L135" s="25">
        <v>0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 t="str">
        <f t="shared" si="12"/>
        <v/>
      </c>
      <c r="BB135" t="str">
        <f t="shared" si="13"/>
        <v/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0</v>
      </c>
      <c r="L136" s="25">
        <v>0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 t="str">
        <f t="shared" si="12"/>
        <v/>
      </c>
      <c r="BB136" t="str">
        <f t="shared" si="13"/>
        <v/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0</v>
      </c>
      <c r="L137" s="25">
        <v>0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 t="str">
        <f t="shared" si="12"/>
        <v/>
      </c>
      <c r="BB137" t="str">
        <f t="shared" si="13"/>
        <v/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0</v>
      </c>
      <c r="L138" s="25">
        <v>0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 t="str">
        <f t="shared" si="12"/>
        <v/>
      </c>
      <c r="BB138" t="str">
        <f t="shared" si="13"/>
        <v/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0</v>
      </c>
      <c r="L139" s="25">
        <v>0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 t="str">
        <f t="shared" si="12"/>
        <v/>
      </c>
      <c r="BB139" t="str">
        <f t="shared" si="13"/>
        <v/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0</v>
      </c>
      <c r="L140" s="25">
        <v>0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 t="str">
        <f t="shared" si="12"/>
        <v/>
      </c>
      <c r="BB140" t="str">
        <f t="shared" si="13"/>
        <v/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0</v>
      </c>
      <c r="L141" s="25">
        <v>0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 t="str">
        <f t="shared" si="12"/>
        <v/>
      </c>
      <c r="BB141" t="str">
        <f t="shared" si="13"/>
        <v/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0</v>
      </c>
      <c r="L142" s="25">
        <v>0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 t="str">
        <f t="shared" si="12"/>
        <v/>
      </c>
      <c r="BB142" t="str">
        <f t="shared" si="13"/>
        <v/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0</v>
      </c>
      <c r="L143" s="25">
        <v>0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 t="str">
        <f t="shared" si="12"/>
        <v/>
      </c>
      <c r="BB143" t="str">
        <f t="shared" si="13"/>
        <v/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0</v>
      </c>
      <c r="L144" s="25">
        <v>0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 t="str">
        <f t="shared" si="12"/>
        <v/>
      </c>
      <c r="BB144" t="str">
        <f t="shared" si="13"/>
        <v/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0</v>
      </c>
      <c r="L145" s="25">
        <v>0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 t="str">
        <f t="shared" si="12"/>
        <v/>
      </c>
      <c r="BB145" t="str">
        <f t="shared" si="13"/>
        <v/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0</v>
      </c>
      <c r="L146" s="25">
        <v>0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 t="str">
        <f t="shared" si="12"/>
        <v/>
      </c>
      <c r="BB146" t="str">
        <f t="shared" si="13"/>
        <v/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0</v>
      </c>
      <c r="L147" s="25">
        <v>0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 t="str">
        <f t="shared" si="12"/>
        <v/>
      </c>
      <c r="BB147" t="str">
        <f t="shared" si="13"/>
        <v/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0</v>
      </c>
      <c r="L148" s="25">
        <v>0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 t="str">
        <f t="shared" si="12"/>
        <v/>
      </c>
      <c r="BB148" t="str">
        <f t="shared" si="13"/>
        <v/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0</v>
      </c>
      <c r="L149" s="25">
        <v>0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 t="str">
        <f t="shared" ref="BA149:BA212" si="14">IF((K149)&lt;&gt;0,(K149),"")</f>
        <v/>
      </c>
      <c r="BB149" t="str">
        <f t="shared" ref="BB149:BD212" si="15">IF((L149)&lt;&gt;0,(L149),"")</f>
        <v/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0</v>
      </c>
      <c r="L150" s="25">
        <v>0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 t="str">
        <f t="shared" si="14"/>
        <v/>
      </c>
      <c r="BB150" t="str">
        <f t="shared" si="15"/>
        <v/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0</v>
      </c>
      <c r="L151" s="25">
        <v>0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 t="str">
        <f t="shared" si="14"/>
        <v/>
      </c>
      <c r="BB151" t="str">
        <f t="shared" si="15"/>
        <v/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0</v>
      </c>
      <c r="L152" s="25">
        <v>0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 t="str">
        <f t="shared" si="14"/>
        <v/>
      </c>
      <c r="BB152" t="str">
        <f t="shared" si="15"/>
        <v/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0</v>
      </c>
      <c r="L153" s="25">
        <v>0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 t="str">
        <f t="shared" si="14"/>
        <v/>
      </c>
      <c r="BB153" t="str">
        <f t="shared" si="15"/>
        <v/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0</v>
      </c>
      <c r="L154" s="25">
        <v>0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 t="str">
        <f t="shared" si="14"/>
        <v/>
      </c>
      <c r="BB154" t="str">
        <f t="shared" si="15"/>
        <v/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0</v>
      </c>
      <c r="L155" s="25">
        <v>0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 t="str">
        <f t="shared" si="14"/>
        <v/>
      </c>
      <c r="BB155" t="str">
        <f t="shared" si="15"/>
        <v/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0</v>
      </c>
      <c r="L156" s="25">
        <v>0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 t="str">
        <f t="shared" si="14"/>
        <v/>
      </c>
      <c r="BB156" t="str">
        <f t="shared" si="15"/>
        <v/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0</v>
      </c>
      <c r="L157" s="25">
        <v>0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 t="str">
        <f t="shared" si="14"/>
        <v/>
      </c>
      <c r="BB157" t="str">
        <f t="shared" si="15"/>
        <v/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0</v>
      </c>
      <c r="L158" s="25">
        <v>0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 t="str">
        <f t="shared" si="14"/>
        <v/>
      </c>
      <c r="BB158" t="str">
        <f t="shared" si="15"/>
        <v/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0</v>
      </c>
      <c r="L159" s="25">
        <v>0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 t="str">
        <f t="shared" si="14"/>
        <v/>
      </c>
      <c r="BB159" t="str">
        <f t="shared" si="15"/>
        <v/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0</v>
      </c>
      <c r="L160" s="25">
        <v>0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 t="str">
        <f t="shared" si="14"/>
        <v/>
      </c>
      <c r="BB160" t="str">
        <f t="shared" si="15"/>
        <v/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0</v>
      </c>
      <c r="L161" s="25">
        <v>0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 t="str">
        <f t="shared" si="14"/>
        <v/>
      </c>
      <c r="BB161" t="str">
        <f t="shared" si="15"/>
        <v/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0</v>
      </c>
      <c r="L162" s="25">
        <v>0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 t="str">
        <f t="shared" si="14"/>
        <v/>
      </c>
      <c r="BB162" t="str">
        <f t="shared" si="15"/>
        <v/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0</v>
      </c>
      <c r="L163" s="25">
        <v>0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 t="str">
        <f t="shared" si="14"/>
        <v/>
      </c>
      <c r="BB163" t="str">
        <f t="shared" si="15"/>
        <v/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0</v>
      </c>
      <c r="L164" s="25">
        <v>0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 t="str">
        <f t="shared" si="14"/>
        <v/>
      </c>
      <c r="BB164" t="str">
        <f t="shared" si="15"/>
        <v/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0</v>
      </c>
      <c r="L165" s="25">
        <v>0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 t="str">
        <f t="shared" si="14"/>
        <v/>
      </c>
      <c r="BB165" t="str">
        <f t="shared" si="15"/>
        <v/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0</v>
      </c>
      <c r="L166" s="25">
        <v>0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 t="str">
        <f t="shared" si="14"/>
        <v/>
      </c>
      <c r="BB166" t="str">
        <f t="shared" si="15"/>
        <v/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0</v>
      </c>
      <c r="L167" s="25">
        <v>0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 t="str">
        <f t="shared" si="14"/>
        <v/>
      </c>
      <c r="BB167" t="str">
        <f t="shared" si="15"/>
        <v/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0</v>
      </c>
      <c r="L168" s="25">
        <v>0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 t="str">
        <f t="shared" si="14"/>
        <v/>
      </c>
      <c r="BB168" t="str">
        <f t="shared" si="15"/>
        <v/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0</v>
      </c>
      <c r="L169" s="25">
        <v>0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 t="str">
        <f t="shared" si="14"/>
        <v/>
      </c>
      <c r="BB169" t="str">
        <f t="shared" si="15"/>
        <v/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0</v>
      </c>
      <c r="L170" s="25">
        <v>0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 t="str">
        <f t="shared" si="14"/>
        <v/>
      </c>
      <c r="BB170" t="str">
        <f t="shared" si="15"/>
        <v/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0</v>
      </c>
      <c r="L171" s="25">
        <v>0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 t="str">
        <f t="shared" si="14"/>
        <v/>
      </c>
      <c r="BB171" t="str">
        <f t="shared" si="15"/>
        <v/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0</v>
      </c>
      <c r="L172" s="25">
        <v>0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 t="str">
        <f t="shared" si="14"/>
        <v/>
      </c>
      <c r="BB172" t="str">
        <f t="shared" si="15"/>
        <v/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0</v>
      </c>
      <c r="L173" s="25">
        <v>0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 t="str">
        <f t="shared" si="14"/>
        <v/>
      </c>
      <c r="BB173" t="str">
        <f t="shared" si="15"/>
        <v/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0</v>
      </c>
      <c r="L174" s="25">
        <v>0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 t="str">
        <f t="shared" si="14"/>
        <v/>
      </c>
      <c r="BB174" t="str">
        <f t="shared" si="15"/>
        <v/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0</v>
      </c>
      <c r="L175" s="25">
        <v>0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 t="str">
        <f t="shared" si="14"/>
        <v/>
      </c>
      <c r="BB175" t="str">
        <f t="shared" si="15"/>
        <v/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0</v>
      </c>
      <c r="L176" s="25">
        <v>0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 t="str">
        <f t="shared" si="14"/>
        <v/>
      </c>
      <c r="BB176" t="str">
        <f t="shared" si="15"/>
        <v/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0</v>
      </c>
      <c r="L177" s="25">
        <v>0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 t="str">
        <f t="shared" si="14"/>
        <v/>
      </c>
      <c r="BB177" t="str">
        <f t="shared" si="15"/>
        <v/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0</v>
      </c>
      <c r="L178" s="25">
        <v>0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 t="str">
        <f t="shared" si="14"/>
        <v/>
      </c>
      <c r="BB178" t="str">
        <f t="shared" si="15"/>
        <v/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0</v>
      </c>
      <c r="L179" s="25">
        <v>0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 t="str">
        <f t="shared" si="14"/>
        <v/>
      </c>
      <c r="BB179" t="str">
        <f t="shared" si="15"/>
        <v/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0</v>
      </c>
      <c r="L180" s="25">
        <v>0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 t="str">
        <f t="shared" si="14"/>
        <v/>
      </c>
      <c r="BB180" t="str">
        <f t="shared" si="15"/>
        <v/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0</v>
      </c>
      <c r="L181" s="25">
        <v>0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 t="str">
        <f t="shared" si="14"/>
        <v/>
      </c>
      <c r="BB181" t="str">
        <f t="shared" si="15"/>
        <v/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0</v>
      </c>
      <c r="L182" s="25">
        <v>0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 t="str">
        <f t="shared" si="14"/>
        <v/>
      </c>
      <c r="BB182" t="str">
        <f t="shared" si="15"/>
        <v/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0</v>
      </c>
      <c r="L183" s="25">
        <v>0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 t="str">
        <f t="shared" si="14"/>
        <v/>
      </c>
      <c r="BB183" t="str">
        <f t="shared" si="15"/>
        <v/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0</v>
      </c>
      <c r="L184" s="25">
        <v>0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 t="str">
        <f t="shared" si="14"/>
        <v/>
      </c>
      <c r="BB184" t="str">
        <f t="shared" si="15"/>
        <v/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0</v>
      </c>
      <c r="L185" s="25">
        <v>0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 t="str">
        <f t="shared" si="14"/>
        <v/>
      </c>
      <c r="BB185" t="str">
        <f t="shared" si="15"/>
        <v/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0</v>
      </c>
      <c r="L186" s="25">
        <v>0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 t="str">
        <f t="shared" si="14"/>
        <v/>
      </c>
      <c r="BB186" t="str">
        <f t="shared" si="15"/>
        <v/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0</v>
      </c>
      <c r="L187" s="25">
        <v>0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 t="str">
        <f t="shared" si="14"/>
        <v/>
      </c>
      <c r="BB187" t="str">
        <f t="shared" si="15"/>
        <v/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0</v>
      </c>
      <c r="L188" s="25">
        <v>0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 t="str">
        <f t="shared" si="14"/>
        <v/>
      </c>
      <c r="BB188" t="str">
        <f t="shared" si="15"/>
        <v/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0</v>
      </c>
      <c r="L189" s="25">
        <v>0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 t="str">
        <f t="shared" si="14"/>
        <v/>
      </c>
      <c r="BB189" t="str">
        <f t="shared" si="15"/>
        <v/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0</v>
      </c>
      <c r="L190" s="25">
        <v>0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 t="str">
        <f t="shared" si="14"/>
        <v/>
      </c>
      <c r="BB190" t="str">
        <f t="shared" si="15"/>
        <v/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0</v>
      </c>
      <c r="L191" s="25">
        <v>0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 t="str">
        <f t="shared" si="14"/>
        <v/>
      </c>
      <c r="BB191" t="str">
        <f t="shared" si="15"/>
        <v/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0</v>
      </c>
      <c r="L192" s="25">
        <v>0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 t="str">
        <f t="shared" si="14"/>
        <v/>
      </c>
      <c r="BB192" t="str">
        <f t="shared" si="15"/>
        <v/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0</v>
      </c>
      <c r="L193" s="25">
        <v>0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 t="str">
        <f t="shared" si="14"/>
        <v/>
      </c>
      <c r="BB193" t="str">
        <f t="shared" si="15"/>
        <v/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0</v>
      </c>
      <c r="L194" s="25">
        <v>0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 t="str">
        <f t="shared" si="14"/>
        <v/>
      </c>
      <c r="BB194" t="str">
        <f t="shared" si="15"/>
        <v/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0</v>
      </c>
      <c r="L195" s="25">
        <v>0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 t="str">
        <f t="shared" si="14"/>
        <v/>
      </c>
      <c r="BB195" t="str">
        <f t="shared" si="15"/>
        <v/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0</v>
      </c>
      <c r="L196" s="25">
        <v>0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 t="str">
        <f t="shared" si="14"/>
        <v/>
      </c>
      <c r="BB196" t="str">
        <f t="shared" si="15"/>
        <v/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0</v>
      </c>
      <c r="L197" s="25">
        <v>0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 t="str">
        <f t="shared" si="14"/>
        <v/>
      </c>
      <c r="BB197" t="str">
        <f t="shared" si="15"/>
        <v/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0</v>
      </c>
      <c r="L198" s="25">
        <v>0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 t="str">
        <f t="shared" si="14"/>
        <v/>
      </c>
      <c r="BB198" t="str">
        <f t="shared" si="15"/>
        <v/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0</v>
      </c>
      <c r="L199" s="25">
        <v>0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 t="str">
        <f t="shared" si="14"/>
        <v/>
      </c>
      <c r="BB199" t="str">
        <f t="shared" si="15"/>
        <v/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0</v>
      </c>
      <c r="L200" s="25">
        <v>0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 t="str">
        <f t="shared" si="14"/>
        <v/>
      </c>
      <c r="BB200" t="str">
        <f t="shared" si="15"/>
        <v/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0</v>
      </c>
      <c r="L201" s="25">
        <v>0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 t="str">
        <f t="shared" si="14"/>
        <v/>
      </c>
      <c r="BB201" t="str">
        <f t="shared" si="15"/>
        <v/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0</v>
      </c>
      <c r="L202" s="25">
        <v>0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 t="str">
        <f t="shared" si="14"/>
        <v/>
      </c>
      <c r="BB202" t="str">
        <f t="shared" si="15"/>
        <v/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0</v>
      </c>
      <c r="L203" s="25">
        <v>0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 t="str">
        <f t="shared" si="14"/>
        <v/>
      </c>
      <c r="BB203" t="str">
        <f t="shared" si="15"/>
        <v/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0</v>
      </c>
      <c r="L204" s="25">
        <v>0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 t="str">
        <f t="shared" si="14"/>
        <v/>
      </c>
      <c r="BB204" t="str">
        <f t="shared" si="15"/>
        <v/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0</v>
      </c>
      <c r="L205" s="25">
        <v>0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 t="str">
        <f t="shared" si="14"/>
        <v/>
      </c>
      <c r="BB205" t="str">
        <f t="shared" si="15"/>
        <v/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0</v>
      </c>
      <c r="L206" s="25">
        <v>0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 t="str">
        <f t="shared" si="14"/>
        <v/>
      </c>
      <c r="BB206" t="str">
        <f t="shared" si="15"/>
        <v/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0</v>
      </c>
      <c r="L207" s="25">
        <v>0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 t="str">
        <f t="shared" si="14"/>
        <v/>
      </c>
      <c r="BB207" t="str">
        <f t="shared" si="15"/>
        <v/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0</v>
      </c>
      <c r="L208" s="25">
        <v>0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 t="str">
        <f t="shared" si="14"/>
        <v/>
      </c>
      <c r="BB208" t="str">
        <f t="shared" si="15"/>
        <v/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0</v>
      </c>
      <c r="L209" s="25">
        <v>0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 t="str">
        <f t="shared" si="14"/>
        <v/>
      </c>
      <c r="BB209" t="str">
        <f t="shared" si="15"/>
        <v/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0</v>
      </c>
      <c r="L210" s="25">
        <v>0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 t="str">
        <f t="shared" si="14"/>
        <v/>
      </c>
      <c r="BB210" t="str">
        <f t="shared" si="15"/>
        <v/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0</v>
      </c>
      <c r="L211" s="25">
        <v>0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 t="str">
        <f t="shared" si="14"/>
        <v/>
      </c>
      <c r="BB211" t="str">
        <f t="shared" si="15"/>
        <v/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0</v>
      </c>
      <c r="L212" s="25">
        <v>0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 t="str">
        <f t="shared" si="14"/>
        <v/>
      </c>
      <c r="BB212" t="str">
        <f t="shared" si="15"/>
        <v/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0</v>
      </c>
      <c r="L213" s="25">
        <v>0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 t="str">
        <f t="shared" ref="BA213:BA276" si="20">IF((K213)&lt;&gt;0,(K213),"")</f>
        <v/>
      </c>
      <c r="BB213" t="str">
        <f t="shared" ref="BB213:BJ276" si="21">IF((L213)&lt;&gt;0,(L213),"")</f>
        <v/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0</v>
      </c>
      <c r="L214" s="25">
        <v>0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 t="str">
        <f t="shared" si="20"/>
        <v/>
      </c>
      <c r="BB214" t="str">
        <f t="shared" si="21"/>
        <v/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0</v>
      </c>
      <c r="L215" s="25">
        <v>0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 t="str">
        <f t="shared" si="20"/>
        <v/>
      </c>
      <c r="BB215" t="str">
        <f t="shared" si="21"/>
        <v/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0</v>
      </c>
      <c r="L216" s="25">
        <v>0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 t="str">
        <f t="shared" si="20"/>
        <v/>
      </c>
      <c r="BB216" t="str">
        <f t="shared" si="21"/>
        <v/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0</v>
      </c>
      <c r="L217" s="25">
        <v>0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 t="str">
        <f t="shared" si="20"/>
        <v/>
      </c>
      <c r="BB217" t="str">
        <f t="shared" si="21"/>
        <v/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0</v>
      </c>
      <c r="L218" s="25">
        <v>0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 t="str">
        <f t="shared" si="20"/>
        <v/>
      </c>
      <c r="BB218" t="str">
        <f t="shared" si="21"/>
        <v/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0</v>
      </c>
      <c r="L219" s="25">
        <v>0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 t="str">
        <f t="shared" si="20"/>
        <v/>
      </c>
      <c r="BB219" t="str">
        <f t="shared" si="21"/>
        <v/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0</v>
      </c>
      <c r="L220" s="25">
        <v>0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 t="str">
        <f t="shared" si="20"/>
        <v/>
      </c>
      <c r="BB220" t="str">
        <f t="shared" si="21"/>
        <v/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0</v>
      </c>
      <c r="L221" s="25">
        <v>0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 t="str">
        <f t="shared" si="20"/>
        <v/>
      </c>
      <c r="BB221" t="str">
        <f t="shared" si="21"/>
        <v/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0</v>
      </c>
      <c r="L222" s="25">
        <v>0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 t="str">
        <f t="shared" si="20"/>
        <v/>
      </c>
      <c r="BB222" t="str">
        <f t="shared" si="21"/>
        <v/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0</v>
      </c>
      <c r="L223" s="25">
        <v>0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 t="str">
        <f t="shared" si="20"/>
        <v/>
      </c>
      <c r="BB223" t="str">
        <f t="shared" si="21"/>
        <v/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0</v>
      </c>
      <c r="L224" s="25">
        <v>0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 t="str">
        <f t="shared" si="20"/>
        <v/>
      </c>
      <c r="BB224" t="str">
        <f t="shared" si="21"/>
        <v/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0</v>
      </c>
      <c r="L225" s="25">
        <v>0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 t="str">
        <f t="shared" si="20"/>
        <v/>
      </c>
      <c r="BB225" t="str">
        <f t="shared" si="21"/>
        <v/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0</v>
      </c>
      <c r="L226" s="25">
        <v>0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 t="str">
        <f t="shared" si="20"/>
        <v/>
      </c>
      <c r="BB226" t="str">
        <f t="shared" si="21"/>
        <v/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0</v>
      </c>
      <c r="L227" s="25">
        <v>0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 t="str">
        <f t="shared" si="20"/>
        <v/>
      </c>
      <c r="BB227" t="str">
        <f t="shared" si="21"/>
        <v/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0</v>
      </c>
      <c r="L228" s="25">
        <v>0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 t="str">
        <f t="shared" si="20"/>
        <v/>
      </c>
      <c r="BB228" t="str">
        <f t="shared" si="21"/>
        <v/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0</v>
      </c>
      <c r="L229" s="25">
        <v>0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 t="str">
        <f t="shared" si="20"/>
        <v/>
      </c>
      <c r="BB229" t="str">
        <f t="shared" si="21"/>
        <v/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0</v>
      </c>
      <c r="L230" s="25">
        <v>0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 t="str">
        <f t="shared" si="20"/>
        <v/>
      </c>
      <c r="BB230" t="str">
        <f t="shared" si="21"/>
        <v/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0</v>
      </c>
      <c r="L231" s="25">
        <v>0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 t="str">
        <f t="shared" si="20"/>
        <v/>
      </c>
      <c r="BB231" t="str">
        <f t="shared" si="21"/>
        <v/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0</v>
      </c>
      <c r="L232" s="25">
        <v>0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 t="str">
        <f t="shared" si="20"/>
        <v/>
      </c>
      <c r="BB232" t="str">
        <f t="shared" si="21"/>
        <v/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0</v>
      </c>
      <c r="L233" s="25">
        <v>0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 t="str">
        <f t="shared" si="20"/>
        <v/>
      </c>
      <c r="BB233" t="str">
        <f t="shared" si="21"/>
        <v/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0</v>
      </c>
      <c r="L234" s="25">
        <v>0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 t="str">
        <f t="shared" si="20"/>
        <v/>
      </c>
      <c r="BB234" t="str">
        <f t="shared" si="21"/>
        <v/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0</v>
      </c>
      <c r="L235" s="25">
        <v>0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 t="str">
        <f t="shared" si="20"/>
        <v/>
      </c>
      <c r="BB235" t="str">
        <f t="shared" si="21"/>
        <v/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0</v>
      </c>
      <c r="L236" s="25">
        <v>0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 t="str">
        <f t="shared" si="20"/>
        <v/>
      </c>
      <c r="BB236" t="str">
        <f t="shared" si="21"/>
        <v/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0</v>
      </c>
      <c r="L237" s="25">
        <v>0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 t="str">
        <f t="shared" si="20"/>
        <v/>
      </c>
      <c r="BB237" t="str">
        <f t="shared" si="21"/>
        <v/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0</v>
      </c>
      <c r="L238" s="25">
        <v>0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 t="str">
        <f t="shared" si="20"/>
        <v/>
      </c>
      <c r="BB238" t="str">
        <f t="shared" si="21"/>
        <v/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0</v>
      </c>
      <c r="L239" s="25">
        <v>0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 t="str">
        <f t="shared" si="20"/>
        <v/>
      </c>
      <c r="BB239" t="str">
        <f t="shared" si="21"/>
        <v/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0</v>
      </c>
      <c r="L240" s="25">
        <v>0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 t="str">
        <f t="shared" si="20"/>
        <v/>
      </c>
      <c r="BB240" t="str">
        <f t="shared" si="21"/>
        <v/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0</v>
      </c>
      <c r="L241" s="25">
        <v>0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 t="str">
        <f t="shared" si="20"/>
        <v/>
      </c>
      <c r="BB241" t="str">
        <f t="shared" si="21"/>
        <v/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0</v>
      </c>
      <c r="L242" s="25">
        <v>0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 t="str">
        <f t="shared" si="20"/>
        <v/>
      </c>
      <c r="BB242" t="str">
        <f t="shared" si="21"/>
        <v/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0</v>
      </c>
      <c r="L243" s="25">
        <v>0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 t="str">
        <f t="shared" si="20"/>
        <v/>
      </c>
      <c r="BB243" t="str">
        <f t="shared" si="21"/>
        <v/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0</v>
      </c>
      <c r="L244" s="25">
        <v>0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 t="str">
        <f t="shared" si="20"/>
        <v/>
      </c>
      <c r="BB244" t="str">
        <f t="shared" si="21"/>
        <v/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0</v>
      </c>
      <c r="L245" s="25">
        <v>0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 t="str">
        <f t="shared" si="20"/>
        <v/>
      </c>
      <c r="BB245" t="str">
        <f t="shared" si="21"/>
        <v/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0</v>
      </c>
      <c r="L246" s="25">
        <v>0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 t="str">
        <f t="shared" si="20"/>
        <v/>
      </c>
      <c r="BB246" t="str">
        <f t="shared" si="21"/>
        <v/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0</v>
      </c>
      <c r="L247" s="25">
        <v>0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 t="str">
        <f t="shared" si="20"/>
        <v/>
      </c>
      <c r="BB247" t="str">
        <f t="shared" si="21"/>
        <v/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0</v>
      </c>
      <c r="L248" s="25">
        <v>0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 t="str">
        <f t="shared" si="20"/>
        <v/>
      </c>
      <c r="BB248" t="str">
        <f t="shared" si="21"/>
        <v/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0</v>
      </c>
      <c r="L249" s="25">
        <v>0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 t="str">
        <f t="shared" si="20"/>
        <v/>
      </c>
      <c r="BB249" t="str">
        <f t="shared" si="21"/>
        <v/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0</v>
      </c>
      <c r="L250" s="25">
        <v>0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 t="str">
        <f t="shared" si="20"/>
        <v/>
      </c>
      <c r="BB250" t="str">
        <f t="shared" si="21"/>
        <v/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0</v>
      </c>
      <c r="L251" s="25">
        <v>0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 t="str">
        <f t="shared" si="20"/>
        <v/>
      </c>
      <c r="BB251" t="str">
        <f t="shared" si="21"/>
        <v/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0</v>
      </c>
      <c r="L252" s="25">
        <v>0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 t="str">
        <f t="shared" si="20"/>
        <v/>
      </c>
      <c r="BB252" t="str">
        <f t="shared" si="21"/>
        <v/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0</v>
      </c>
      <c r="L253" s="25">
        <v>0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 t="str">
        <f t="shared" si="20"/>
        <v/>
      </c>
      <c r="BB253" t="str">
        <f t="shared" si="21"/>
        <v/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0</v>
      </c>
      <c r="L254" s="25">
        <v>0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 t="str">
        <f t="shared" si="20"/>
        <v/>
      </c>
      <c r="BB254" t="str">
        <f t="shared" si="21"/>
        <v/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0</v>
      </c>
      <c r="L255" s="25">
        <v>0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 t="str">
        <f t="shared" si="20"/>
        <v/>
      </c>
      <c r="BB255" t="str">
        <f t="shared" si="21"/>
        <v/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0</v>
      </c>
      <c r="L256" s="25">
        <v>0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 t="str">
        <f t="shared" si="20"/>
        <v/>
      </c>
      <c r="BB256" t="str">
        <f t="shared" si="21"/>
        <v/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0</v>
      </c>
      <c r="L257" s="25">
        <v>0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 t="str">
        <f t="shared" si="20"/>
        <v/>
      </c>
      <c r="BB257" t="str">
        <f t="shared" si="21"/>
        <v/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0</v>
      </c>
      <c r="L258" s="25">
        <v>0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 t="str">
        <f t="shared" si="20"/>
        <v/>
      </c>
      <c r="BB258" t="str">
        <f t="shared" si="21"/>
        <v/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0</v>
      </c>
      <c r="L259" s="25">
        <v>0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 t="str">
        <f t="shared" si="20"/>
        <v/>
      </c>
      <c r="BB259" t="str">
        <f t="shared" si="21"/>
        <v/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0</v>
      </c>
      <c r="L260" s="25">
        <v>0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 t="str">
        <f t="shared" si="20"/>
        <v/>
      </c>
      <c r="BB260" t="str">
        <f t="shared" si="21"/>
        <v/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0</v>
      </c>
      <c r="L261" s="25">
        <v>0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 t="str">
        <f t="shared" si="20"/>
        <v/>
      </c>
      <c r="BB261" t="str">
        <f t="shared" si="21"/>
        <v/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0</v>
      </c>
      <c r="L262" s="25">
        <v>0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 t="str">
        <f t="shared" si="20"/>
        <v/>
      </c>
      <c r="BB262" t="str">
        <f t="shared" si="21"/>
        <v/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0</v>
      </c>
      <c r="L263" s="25">
        <v>0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 t="str">
        <f t="shared" si="20"/>
        <v/>
      </c>
      <c r="BB263" t="str">
        <f t="shared" si="21"/>
        <v/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0</v>
      </c>
      <c r="L264" s="25">
        <v>0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 t="str">
        <f t="shared" si="20"/>
        <v/>
      </c>
      <c r="BB264" t="str">
        <f t="shared" si="21"/>
        <v/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0</v>
      </c>
      <c r="L265" s="25">
        <v>0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 t="str">
        <f t="shared" si="20"/>
        <v/>
      </c>
      <c r="BB265" t="str">
        <f t="shared" si="21"/>
        <v/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0</v>
      </c>
      <c r="L266" s="25">
        <v>0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 t="str">
        <f t="shared" si="20"/>
        <v/>
      </c>
      <c r="BB266" t="str">
        <f t="shared" si="21"/>
        <v/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0</v>
      </c>
      <c r="L267" s="25">
        <v>0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 t="str">
        <f t="shared" si="20"/>
        <v/>
      </c>
      <c r="BB267" t="str">
        <f t="shared" si="21"/>
        <v/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0</v>
      </c>
      <c r="L268" s="25">
        <v>0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 t="str">
        <f t="shared" si="20"/>
        <v/>
      </c>
      <c r="BB268" t="str">
        <f t="shared" si="21"/>
        <v/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0</v>
      </c>
      <c r="L269" s="25">
        <v>0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 t="str">
        <f t="shared" si="20"/>
        <v/>
      </c>
      <c r="BB269" t="str">
        <f t="shared" si="21"/>
        <v/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0</v>
      </c>
      <c r="L270" s="25">
        <v>0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 t="str">
        <f t="shared" si="20"/>
        <v/>
      </c>
      <c r="BB270" t="str">
        <f t="shared" si="21"/>
        <v/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0</v>
      </c>
      <c r="L271" s="25">
        <v>0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 t="str">
        <f t="shared" si="20"/>
        <v/>
      </c>
      <c r="BB271" t="str">
        <f t="shared" si="21"/>
        <v/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0</v>
      </c>
      <c r="L272" s="25">
        <v>0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 t="str">
        <f t="shared" si="20"/>
        <v/>
      </c>
      <c r="BB272" t="str">
        <f t="shared" si="21"/>
        <v/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0</v>
      </c>
      <c r="L273" s="25">
        <v>0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 t="str">
        <f t="shared" si="20"/>
        <v/>
      </c>
      <c r="BB273" t="str">
        <f t="shared" si="21"/>
        <v/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0</v>
      </c>
      <c r="L274" s="25">
        <v>0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 t="str">
        <f t="shared" si="20"/>
        <v/>
      </c>
      <c r="BB274" t="str">
        <f t="shared" si="21"/>
        <v/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0</v>
      </c>
      <c r="L275" s="25">
        <v>0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 t="str">
        <f t="shared" si="20"/>
        <v/>
      </c>
      <c r="BB275" t="str">
        <f t="shared" si="21"/>
        <v/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0</v>
      </c>
      <c r="L276" s="25">
        <v>0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 t="str">
        <f t="shared" si="20"/>
        <v/>
      </c>
      <c r="BB276" t="str">
        <f t="shared" si="21"/>
        <v/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0</v>
      </c>
      <c r="L277" s="25">
        <v>0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 t="str">
        <f t="shared" ref="BA277:BA340" si="22">IF((K277)&lt;&gt;0,(K277),"")</f>
        <v/>
      </c>
      <c r="BB277" t="str">
        <f t="shared" ref="BB277:BD340" si="23">IF((L277)&lt;&gt;0,(L277),"")</f>
        <v/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0</v>
      </c>
      <c r="L278" s="25">
        <v>0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 t="str">
        <f t="shared" si="22"/>
        <v/>
      </c>
      <c r="BB278" t="str">
        <f t="shared" si="23"/>
        <v/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0</v>
      </c>
      <c r="L279" s="25">
        <v>0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 t="str">
        <f t="shared" si="22"/>
        <v/>
      </c>
      <c r="BB279" t="str">
        <f t="shared" si="23"/>
        <v/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0</v>
      </c>
      <c r="L280" s="25">
        <v>0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 t="str">
        <f t="shared" si="22"/>
        <v/>
      </c>
      <c r="BB280" t="str">
        <f t="shared" si="23"/>
        <v/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0</v>
      </c>
      <c r="L281" s="25">
        <v>0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 t="str">
        <f t="shared" si="22"/>
        <v/>
      </c>
      <c r="BB281" t="str">
        <f t="shared" si="23"/>
        <v/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0</v>
      </c>
      <c r="L282" s="25">
        <v>0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 t="str">
        <f t="shared" si="22"/>
        <v/>
      </c>
      <c r="BB282" t="str">
        <f t="shared" si="23"/>
        <v/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0</v>
      </c>
      <c r="L283" s="25">
        <v>0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 t="str">
        <f t="shared" si="22"/>
        <v/>
      </c>
      <c r="BB283" t="str">
        <f t="shared" si="23"/>
        <v/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0</v>
      </c>
      <c r="L284" s="25">
        <v>0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 t="str">
        <f t="shared" si="22"/>
        <v/>
      </c>
      <c r="BB284" t="str">
        <f t="shared" si="23"/>
        <v/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0</v>
      </c>
      <c r="L285" s="25">
        <v>0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 t="str">
        <f t="shared" si="22"/>
        <v/>
      </c>
      <c r="BB285" t="str">
        <f t="shared" si="23"/>
        <v/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0</v>
      </c>
      <c r="L286" s="25">
        <v>0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 t="str">
        <f t="shared" si="22"/>
        <v/>
      </c>
      <c r="BB286" t="str">
        <f t="shared" si="23"/>
        <v/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0</v>
      </c>
      <c r="L287" s="25">
        <v>0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 t="str">
        <f t="shared" si="22"/>
        <v/>
      </c>
      <c r="BB287" t="str">
        <f t="shared" si="23"/>
        <v/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0</v>
      </c>
      <c r="L288" s="25">
        <v>0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 t="str">
        <f t="shared" si="22"/>
        <v/>
      </c>
      <c r="BB288" t="str">
        <f t="shared" si="23"/>
        <v/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0</v>
      </c>
      <c r="L289" s="25">
        <v>0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 t="str">
        <f t="shared" si="22"/>
        <v/>
      </c>
      <c r="BB289" t="str">
        <f t="shared" si="23"/>
        <v/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0</v>
      </c>
      <c r="L290" s="25">
        <v>0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 t="str">
        <f t="shared" si="22"/>
        <v/>
      </c>
      <c r="BB290" t="str">
        <f t="shared" si="23"/>
        <v/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0</v>
      </c>
      <c r="L291" s="25">
        <v>0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 t="str">
        <f t="shared" si="22"/>
        <v/>
      </c>
      <c r="BB291" t="str">
        <f t="shared" si="23"/>
        <v/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0</v>
      </c>
      <c r="L292" s="25">
        <v>0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 t="str">
        <f t="shared" si="22"/>
        <v/>
      </c>
      <c r="BB292" t="str">
        <f t="shared" si="23"/>
        <v/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0</v>
      </c>
      <c r="L293" s="25">
        <v>0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 t="str">
        <f t="shared" si="22"/>
        <v/>
      </c>
      <c r="BB293" t="str">
        <f t="shared" si="23"/>
        <v/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0</v>
      </c>
      <c r="L294" s="25">
        <v>0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 t="str">
        <f t="shared" si="22"/>
        <v/>
      </c>
      <c r="BB294" t="str">
        <f t="shared" si="23"/>
        <v/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0</v>
      </c>
      <c r="L295" s="25">
        <v>0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 t="str">
        <f t="shared" si="22"/>
        <v/>
      </c>
      <c r="BB295" t="str">
        <f t="shared" si="23"/>
        <v/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0</v>
      </c>
      <c r="L296" s="25">
        <v>0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 t="str">
        <f t="shared" si="22"/>
        <v/>
      </c>
      <c r="BB296" t="str">
        <f t="shared" si="23"/>
        <v/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0</v>
      </c>
      <c r="L297" s="25">
        <v>0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 t="str">
        <f t="shared" si="22"/>
        <v/>
      </c>
      <c r="BB297" t="str">
        <f t="shared" si="23"/>
        <v/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0</v>
      </c>
      <c r="L298" s="25">
        <v>0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 t="str">
        <f t="shared" si="22"/>
        <v/>
      </c>
      <c r="BB298" t="str">
        <f t="shared" si="23"/>
        <v/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0</v>
      </c>
      <c r="L299" s="25">
        <v>0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 t="str">
        <f t="shared" si="22"/>
        <v/>
      </c>
      <c r="BB299" t="str">
        <f t="shared" si="23"/>
        <v/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0</v>
      </c>
      <c r="L300" s="25">
        <v>0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 t="str">
        <f t="shared" si="22"/>
        <v/>
      </c>
      <c r="BB300" t="str">
        <f t="shared" si="23"/>
        <v/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0</v>
      </c>
      <c r="L301" s="25">
        <v>0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 t="str">
        <f t="shared" si="22"/>
        <v/>
      </c>
      <c r="BB301" t="str">
        <f t="shared" si="23"/>
        <v/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0</v>
      </c>
      <c r="L302" s="25">
        <v>0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 t="str">
        <f t="shared" si="22"/>
        <v/>
      </c>
      <c r="BB302" t="str">
        <f t="shared" si="23"/>
        <v/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0</v>
      </c>
      <c r="L303" s="25">
        <v>0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 t="str">
        <f t="shared" si="22"/>
        <v/>
      </c>
      <c r="BB303" t="str">
        <f t="shared" si="23"/>
        <v/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0</v>
      </c>
      <c r="L304" s="25">
        <v>0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 t="str">
        <f t="shared" si="22"/>
        <v/>
      </c>
      <c r="BB304" t="str">
        <f t="shared" si="23"/>
        <v/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0</v>
      </c>
      <c r="L305" s="25">
        <v>0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 t="str">
        <f t="shared" si="22"/>
        <v/>
      </c>
      <c r="BB305" t="str">
        <f t="shared" si="23"/>
        <v/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0</v>
      </c>
      <c r="L306" s="25">
        <v>0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 t="str">
        <f t="shared" si="22"/>
        <v/>
      </c>
      <c r="BB306" t="str">
        <f t="shared" si="23"/>
        <v/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0</v>
      </c>
      <c r="L307" s="25">
        <v>0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 t="str">
        <f t="shared" si="22"/>
        <v/>
      </c>
      <c r="BB307" t="str">
        <f t="shared" si="23"/>
        <v/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0</v>
      </c>
      <c r="L308" s="25">
        <v>0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 t="str">
        <f t="shared" si="22"/>
        <v/>
      </c>
      <c r="BB308" t="str">
        <f t="shared" si="23"/>
        <v/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0</v>
      </c>
      <c r="L309" s="25">
        <v>0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 t="str">
        <f t="shared" si="22"/>
        <v/>
      </c>
      <c r="BB309" t="str">
        <f t="shared" si="23"/>
        <v/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0</v>
      </c>
      <c r="L310" s="25">
        <v>0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 t="str">
        <f t="shared" si="22"/>
        <v/>
      </c>
      <c r="BB310" t="str">
        <f t="shared" si="23"/>
        <v/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0</v>
      </c>
      <c r="L311" s="25">
        <v>0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 t="str">
        <f t="shared" si="22"/>
        <v/>
      </c>
      <c r="BB311" t="str">
        <f t="shared" si="23"/>
        <v/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0</v>
      </c>
      <c r="L312" s="25">
        <v>0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 t="str">
        <f t="shared" si="22"/>
        <v/>
      </c>
      <c r="BB312" t="str">
        <f t="shared" si="23"/>
        <v/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0</v>
      </c>
      <c r="L313" s="25">
        <v>0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 t="str">
        <f t="shared" si="22"/>
        <v/>
      </c>
      <c r="BB313" t="str">
        <f t="shared" si="23"/>
        <v/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0</v>
      </c>
      <c r="L314" s="25">
        <v>0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 t="str">
        <f t="shared" si="22"/>
        <v/>
      </c>
      <c r="BB314" t="str">
        <f t="shared" si="23"/>
        <v/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0</v>
      </c>
      <c r="L315" s="25">
        <v>0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 t="str">
        <f t="shared" si="22"/>
        <v/>
      </c>
      <c r="BB315" t="str">
        <f t="shared" si="23"/>
        <v/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0</v>
      </c>
      <c r="L316" s="25">
        <v>0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 t="str">
        <f t="shared" si="22"/>
        <v/>
      </c>
      <c r="BB316" t="str">
        <f t="shared" si="23"/>
        <v/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0</v>
      </c>
      <c r="L317" s="25">
        <v>0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 t="str">
        <f t="shared" si="22"/>
        <v/>
      </c>
      <c r="BB317" t="str">
        <f t="shared" si="23"/>
        <v/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0</v>
      </c>
      <c r="L318" s="25">
        <v>0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 t="str">
        <f t="shared" si="22"/>
        <v/>
      </c>
      <c r="BB318" t="str">
        <f t="shared" si="23"/>
        <v/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0</v>
      </c>
      <c r="L319" s="25">
        <v>0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 t="str">
        <f t="shared" si="22"/>
        <v/>
      </c>
      <c r="BB319" t="str">
        <f t="shared" si="23"/>
        <v/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0</v>
      </c>
      <c r="L320" s="25">
        <v>0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 t="str">
        <f t="shared" si="22"/>
        <v/>
      </c>
      <c r="BB320" t="str">
        <f t="shared" si="23"/>
        <v/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0</v>
      </c>
      <c r="L321" s="25">
        <v>0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 t="str">
        <f t="shared" si="22"/>
        <v/>
      </c>
      <c r="BB321" t="str">
        <f t="shared" si="23"/>
        <v/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0</v>
      </c>
      <c r="L322" s="25">
        <v>0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 t="str">
        <f t="shared" si="22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0</v>
      </c>
      <c r="L323" s="25">
        <v>0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 t="str">
        <f t="shared" si="22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0</v>
      </c>
      <c r="L324" s="25">
        <v>0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 t="str">
        <f t="shared" si="22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0</v>
      </c>
      <c r="L325" s="25">
        <v>0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 t="str">
        <f t="shared" si="22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0</v>
      </c>
      <c r="L326" s="25">
        <v>0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 t="str">
        <f t="shared" si="22"/>
        <v/>
      </c>
      <c r="BB326" t="str">
        <f t="shared" si="23"/>
        <v/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0</v>
      </c>
      <c r="L327" s="25">
        <v>0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 t="str">
        <f t="shared" si="22"/>
        <v/>
      </c>
      <c r="BB327" t="str">
        <f t="shared" si="23"/>
        <v/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0</v>
      </c>
      <c r="L328" s="25">
        <v>0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 t="str">
        <f t="shared" si="22"/>
        <v/>
      </c>
      <c r="BB328" t="str">
        <f t="shared" si="23"/>
        <v/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0</v>
      </c>
      <c r="L329" s="25">
        <v>0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 t="str">
        <f t="shared" si="22"/>
        <v/>
      </c>
      <c r="BB329" t="str">
        <f t="shared" si="23"/>
        <v/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0</v>
      </c>
      <c r="L330" s="25">
        <v>0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 t="str">
        <f t="shared" si="22"/>
        <v/>
      </c>
      <c r="BB330" t="str">
        <f t="shared" si="23"/>
        <v/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0</v>
      </c>
      <c r="L331" s="25">
        <v>0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 t="str">
        <f t="shared" si="22"/>
        <v/>
      </c>
      <c r="BB331" t="str">
        <f t="shared" si="23"/>
        <v/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0</v>
      </c>
      <c r="L332" s="25">
        <v>0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 t="str">
        <f t="shared" si="22"/>
        <v/>
      </c>
      <c r="BB332" t="str">
        <f t="shared" si="23"/>
        <v/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0</v>
      </c>
      <c r="L333" s="25">
        <v>0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 t="str">
        <f t="shared" si="22"/>
        <v/>
      </c>
      <c r="BB333" t="str">
        <f t="shared" si="23"/>
        <v/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0</v>
      </c>
      <c r="L334" s="25">
        <v>0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 t="str">
        <f t="shared" si="22"/>
        <v/>
      </c>
      <c r="BB334" t="str">
        <f t="shared" si="23"/>
        <v/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0</v>
      </c>
      <c r="L335" s="25">
        <v>0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 t="str">
        <f t="shared" si="22"/>
        <v/>
      </c>
      <c r="BB335" t="str">
        <f t="shared" si="23"/>
        <v/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0</v>
      </c>
      <c r="L336" s="25">
        <v>0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 t="str">
        <f t="shared" si="22"/>
        <v/>
      </c>
      <c r="BB336" t="str">
        <f t="shared" si="23"/>
        <v/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0</v>
      </c>
      <c r="L337" s="25">
        <v>0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 t="str">
        <f t="shared" si="22"/>
        <v/>
      </c>
      <c r="BB337" t="str">
        <f t="shared" si="23"/>
        <v/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0</v>
      </c>
      <c r="L338" s="25">
        <v>0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 t="str">
        <f t="shared" si="22"/>
        <v/>
      </c>
      <c r="BB338" t="str">
        <f t="shared" si="23"/>
        <v/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0</v>
      </c>
      <c r="L339" s="25">
        <v>0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 t="str">
        <f t="shared" si="22"/>
        <v/>
      </c>
      <c r="BB339" t="str">
        <f t="shared" si="23"/>
        <v/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0</v>
      </c>
      <c r="L340" s="25">
        <v>0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 t="str">
        <f t="shared" si="22"/>
        <v/>
      </c>
      <c r="BB340" t="str">
        <f t="shared" si="23"/>
        <v/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0</v>
      </c>
      <c r="L341" s="25">
        <v>0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 t="str">
        <f t="shared" ref="BA341:BA404" si="28">IF((K341)&lt;&gt;0,(K341),"")</f>
        <v/>
      </c>
      <c r="BB341" t="str">
        <f t="shared" ref="BB341:BJ404" si="29">IF((L341)&lt;&gt;0,(L341),"")</f>
        <v/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0</v>
      </c>
      <c r="L342" s="25">
        <v>0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 t="str">
        <f t="shared" si="28"/>
        <v/>
      </c>
      <c r="BB342" t="str">
        <f t="shared" si="29"/>
        <v/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0</v>
      </c>
      <c r="L343" s="25">
        <v>0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 t="str">
        <f t="shared" si="28"/>
        <v/>
      </c>
      <c r="BB343" t="str">
        <f t="shared" si="29"/>
        <v/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0</v>
      </c>
      <c r="L344" s="25">
        <v>0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 t="str">
        <f t="shared" si="28"/>
        <v/>
      </c>
      <c r="BB344" t="str">
        <f t="shared" si="29"/>
        <v/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0</v>
      </c>
      <c r="L345" s="25">
        <v>0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 t="str">
        <f t="shared" si="28"/>
        <v/>
      </c>
      <c r="BB345" t="str">
        <f t="shared" si="29"/>
        <v/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0</v>
      </c>
      <c r="L346" s="25">
        <v>0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 t="str">
        <f t="shared" si="28"/>
        <v/>
      </c>
      <c r="BB346" t="str">
        <f t="shared" si="29"/>
        <v/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0</v>
      </c>
      <c r="L347" s="25">
        <v>0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 t="str">
        <f t="shared" si="28"/>
        <v/>
      </c>
      <c r="BB347" t="str">
        <f t="shared" si="29"/>
        <v/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0</v>
      </c>
      <c r="L348" s="25">
        <v>0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 t="str">
        <f t="shared" si="28"/>
        <v/>
      </c>
      <c r="BB348" t="str">
        <f t="shared" si="29"/>
        <v/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0</v>
      </c>
      <c r="L349" s="25">
        <v>0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 t="str">
        <f t="shared" si="28"/>
        <v/>
      </c>
      <c r="BB349" t="str">
        <f t="shared" si="29"/>
        <v/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0</v>
      </c>
      <c r="L350" s="25">
        <v>0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 t="str">
        <f t="shared" si="28"/>
        <v/>
      </c>
      <c r="BB350" t="str">
        <f t="shared" si="29"/>
        <v/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0</v>
      </c>
      <c r="L351" s="25">
        <v>0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 t="str">
        <f t="shared" si="28"/>
        <v/>
      </c>
      <c r="BB351" t="str">
        <f t="shared" si="29"/>
        <v/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0</v>
      </c>
      <c r="L352" s="25">
        <v>0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 t="str">
        <f t="shared" si="28"/>
        <v/>
      </c>
      <c r="BB352" t="str">
        <f t="shared" si="29"/>
        <v/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0</v>
      </c>
      <c r="L353" s="25">
        <v>0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 t="str">
        <f t="shared" si="28"/>
        <v/>
      </c>
      <c r="BB353" t="str">
        <f t="shared" si="29"/>
        <v/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0</v>
      </c>
      <c r="L354" s="25">
        <v>0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 t="str">
        <f t="shared" si="28"/>
        <v/>
      </c>
      <c r="BB354" t="str">
        <f t="shared" si="29"/>
        <v/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0</v>
      </c>
      <c r="L355" s="25">
        <v>0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 t="str">
        <f t="shared" si="28"/>
        <v/>
      </c>
      <c r="BB355" t="str">
        <f t="shared" si="29"/>
        <v/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0</v>
      </c>
      <c r="L356" s="25">
        <v>0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 t="str">
        <f t="shared" si="28"/>
        <v/>
      </c>
      <c r="BB356" t="str">
        <f t="shared" si="29"/>
        <v/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0</v>
      </c>
      <c r="L357" s="25">
        <v>0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 t="str">
        <f t="shared" si="28"/>
        <v/>
      </c>
      <c r="BB357" t="str">
        <f t="shared" si="29"/>
        <v/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0</v>
      </c>
      <c r="L358" s="25">
        <v>0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 t="str">
        <f t="shared" si="28"/>
        <v/>
      </c>
      <c r="BB358" t="str">
        <f t="shared" si="29"/>
        <v/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0</v>
      </c>
      <c r="L359" s="25">
        <v>0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 t="str">
        <f t="shared" si="28"/>
        <v/>
      </c>
      <c r="BB359" t="str">
        <f t="shared" si="29"/>
        <v/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0</v>
      </c>
      <c r="L360" s="25">
        <v>0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 t="str">
        <f t="shared" si="28"/>
        <v/>
      </c>
      <c r="BB360" t="str">
        <f t="shared" si="29"/>
        <v/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0</v>
      </c>
      <c r="L361" s="25">
        <v>0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 t="str">
        <f t="shared" si="28"/>
        <v/>
      </c>
      <c r="BB361" t="str">
        <f t="shared" si="29"/>
        <v/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0</v>
      </c>
      <c r="L362" s="25">
        <v>0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 t="str">
        <f t="shared" si="28"/>
        <v/>
      </c>
      <c r="BB362" t="str">
        <f t="shared" si="29"/>
        <v/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0</v>
      </c>
      <c r="L363" s="25">
        <v>0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 t="str">
        <f t="shared" si="28"/>
        <v/>
      </c>
      <c r="BB363" t="str">
        <f t="shared" si="29"/>
        <v/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8" zoomScaleNormal="100" workbookViewId="0">
      <selection activeCell="H47" sqref="H47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Cal_40</v>
      </c>
      <c r="H5" s="12"/>
    </row>
    <row r="6" spans="1:15" x14ac:dyDescent="0.2">
      <c r="B6" s="40" t="s">
        <v>26</v>
      </c>
      <c r="C6" s="30" t="str">
        <f>FechaEnsayo</f>
        <v>23/12/25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7"/>
      <c r="D11" s="58"/>
      <c r="E11" s="17"/>
      <c r="H11" s="12"/>
    </row>
    <row r="12" spans="1:15" x14ac:dyDescent="0.2">
      <c r="A12" s="12"/>
      <c r="C12" s="57"/>
      <c r="D12" s="58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30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31</v>
      </c>
    </row>
    <row r="46" spans="2:8" x14ac:dyDescent="0.2">
      <c r="B46" s="11"/>
      <c r="C46" s="46">
        <v>3.74902677536</v>
      </c>
      <c r="D46" s="47">
        <f t="shared" ref="D46:D51" si="0">IF(C46&lt;&gt;0, E$46*F$46*(30/C46)/(H$46*G$46), "")</f>
        <v>48.998799989534035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</v>
      </c>
    </row>
    <row r="47" spans="2:8" x14ac:dyDescent="0.2">
      <c r="B47" s="11"/>
      <c r="C47" s="46"/>
      <c r="D47" s="47" t="str">
        <f t="shared" si="0"/>
        <v/>
      </c>
      <c r="E47" s="47"/>
      <c r="H47" s="12"/>
    </row>
    <row r="48" spans="2:8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48.251914978030001</v>
      </c>
      <c r="D73" s="32">
        <f>MAX(Hoja1!K5:K2000)</f>
        <v>3.74902677536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J40" sqref="J40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Cal_40</v>
      </c>
      <c r="H5" s="12"/>
    </row>
    <row r="6" spans="1:15" x14ac:dyDescent="0.2">
      <c r="B6" s="40" t="s">
        <v>26</v>
      </c>
      <c r="C6" s="30" t="str">
        <f>FechaEnsayo</f>
        <v>23/12/25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7"/>
      <c r="D11" s="58"/>
      <c r="E11" s="17"/>
      <c r="H11" s="12"/>
    </row>
    <row r="12" spans="1:15" x14ac:dyDescent="0.2">
      <c r="A12" s="12"/>
      <c r="C12" s="57"/>
      <c r="D12" s="58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28</v>
      </c>
      <c r="D45" s="43" t="s">
        <v>29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48.251914978030001</v>
      </c>
      <c r="D73" s="32">
        <f>MAX(Hoja1!K5:K2000)</f>
        <v>3.74902677536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2025-12-23T10:10:40Z</dcterms:modified>
</cp:coreProperties>
</file>