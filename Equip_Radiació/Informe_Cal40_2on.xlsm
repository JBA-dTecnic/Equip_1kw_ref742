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8_{5585E02F-06E2-48B9-9431-810787023E67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5" l="1"/>
  <c r="M44" i="5"/>
  <c r="N39" i="5"/>
  <c r="N35" i="5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<sst xmlns="http://schemas.openxmlformats.org/spreadsheetml/2006/main" count="70" uniqueCount="34">
  <si>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</si>
  <si>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</si>
  <si>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</si>
  <si>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</si>
  <si>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</si>
  <si>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</si>
  <si>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</si>
  <si>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</si>
  <si>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</si>
  <si>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</si>
  <si>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</si>
  <si>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</si>
  <si>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</si>
  <si>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</si>
  <si>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</si>
  <si>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</si>
  <si>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</si>
  <si>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</si>
  <si>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</si>
  <si>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</si>
  <si>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</si>
  <si>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</si>
  <si>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</si>
  <si>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</si>
  <si>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</si>
  <si>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</si>
  <si>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</si>
  <si>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</si>
  <si>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t30ºC</t>
  </si>
  <si>
    <t>α</t>
  </si>
  <si>
    <t>m</t>
  </si>
  <si>
    <t>Entrar Instante Inicio (s)</t>
  </si>
  <si>
    <t>Entrar Instante Final (s)</t>
  </si>
  <si>
    <t>cal40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</si>
</sst>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247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247"/>
                <c:pt idx="0">
                  <c:v>24.673210144039999</c:v>
                </c:pt>
                <c:pt idx="1">
                  <c:v>24.573490142819999</c:v>
                </c:pt>
                <c:pt idx="2">
                  <c:v>24.497451782230002</c:v>
                </c:pt>
                <c:pt idx="3">
                  <c:v>24.769245147709999</c:v>
                </c:pt>
                <c:pt idx="4">
                  <c:v>25.485424041750001</c:v>
                </c:pt>
                <c:pt idx="5">
                  <c:v>26.330528259280001</c:v>
                </c:pt>
                <c:pt idx="6">
                  <c:v>27.005924224849998</c:v>
                </c:pt>
                <c:pt idx="7">
                  <c:v>27.544246673579998</c:v>
                </c:pt>
                <c:pt idx="8">
                  <c:v>28.363039016719998</c:v>
                </c:pt>
                <c:pt idx="9">
                  <c:v>29.145784378049999</c:v>
                </c:pt>
                <c:pt idx="10">
                  <c:v>29.813554763789998</c:v>
                </c:pt>
                <c:pt idx="11">
                  <c:v>30.547100067140001</c:v>
                </c:pt>
                <c:pt idx="12">
                  <c:v>31.183032989499999</c:v>
                </c:pt>
                <c:pt idx="13">
                  <c:v>32.061813354489999</c:v>
                </c:pt>
                <c:pt idx="14">
                  <c:v>32.719581603999998</c:v>
                </c:pt>
                <c:pt idx="15">
                  <c:v>33.246852874760002</c:v>
                </c:pt>
                <c:pt idx="16">
                  <c:v>34.031707763669999</c:v>
                </c:pt>
                <c:pt idx="17">
                  <c:v>35.008361816410002</c:v>
                </c:pt>
                <c:pt idx="18">
                  <c:v>35.654556274409998</c:v>
                </c:pt>
                <c:pt idx="19">
                  <c:v>36.204189300540001</c:v>
                </c:pt>
                <c:pt idx="20">
                  <c:v>37.052715301509998</c:v>
                </c:pt>
                <c:pt idx="21">
                  <c:v>37.90439605713</c:v>
                </c:pt>
                <c:pt idx="22">
                  <c:v>38.502178192140001</c:v>
                </c:pt>
                <c:pt idx="23">
                  <c:v>39.154159545900001</c:v>
                </c:pt>
                <c:pt idx="24">
                  <c:v>39.920330047610001</c:v>
                </c:pt>
                <c:pt idx="25">
                  <c:v>40.554424285890001</c:v>
                </c:pt>
                <c:pt idx="26">
                  <c:v>41.310066223139998</c:v>
                </c:pt>
                <c:pt idx="27">
                  <c:v>41.79997253418</c:v>
                </c:pt>
                <c:pt idx="28">
                  <c:v>42.564044952389999</c:v>
                </c:pt>
                <c:pt idx="29">
                  <c:v>43.368362426760001</c:v>
                </c:pt>
                <c:pt idx="30">
                  <c:v>44.068756103520002</c:v>
                </c:pt>
                <c:pt idx="31">
                  <c:v>44.687591552729998</c:v>
                </c:pt>
                <c:pt idx="32">
                  <c:v>45.577159881589999</c:v>
                </c:pt>
                <c:pt idx="33">
                  <c:v>46.621700286870002</c:v>
                </c:pt>
                <c:pt idx="34">
                  <c:v>47.232109069819998</c:v>
                </c:pt>
                <c:pt idx="35">
                  <c:v>47.65334701538</c:v>
                </c:pt>
                <c:pt idx="36">
                  <c:v>48.445823669429998</c:v>
                </c:pt>
                <c:pt idx="37">
                  <c:v>48.833908081049998</c:v>
                </c:pt>
                <c:pt idx="38">
                  <c:v>49.656913757319998</c:v>
                </c:pt>
                <c:pt idx="39">
                  <c:v>50.279956817630001</c:v>
                </c:pt>
                <c:pt idx="40">
                  <c:v>50.964820861820002</c:v>
                </c:pt>
                <c:pt idx="41">
                  <c:v>51.78519821167</c:v>
                </c:pt>
                <c:pt idx="42">
                  <c:v>52.32614517212</c:v>
                </c:pt>
                <c:pt idx="43">
                  <c:v>53.033908843989998</c:v>
                </c:pt>
                <c:pt idx="44">
                  <c:v>53.834281921390001</c:v>
                </c:pt>
                <c:pt idx="45">
                  <c:v>54.544147491460002</c:v>
                </c:pt>
                <c:pt idx="46">
                  <c:v>55.060890197749998</c:v>
                </c:pt>
                <c:pt idx="47">
                  <c:v>55.797073364260001</c:v>
                </c:pt>
                <c:pt idx="48">
                  <c:v>56.381698608400001</c:v>
                </c:pt>
                <c:pt idx="49">
                  <c:v>57.244430541989999</c:v>
                </c:pt>
                <c:pt idx="50">
                  <c:v>57.699081420900001</c:v>
                </c:pt>
                <c:pt idx="51">
                  <c:v>58.479457855219998</c:v>
                </c:pt>
                <c:pt idx="52">
                  <c:v>59.058563232419999</c:v>
                </c:pt>
                <c:pt idx="53">
                  <c:v>59.707122802729998</c:v>
                </c:pt>
                <c:pt idx="54">
                  <c:v>60.469608306879998</c:v>
                </c:pt>
                <c:pt idx="55">
                  <c:v>61.160793304439999</c:v>
                </c:pt>
                <c:pt idx="56">
                  <c:v>61.782516479489999</c:v>
                </c:pt>
                <c:pt idx="57">
                  <c:v>62.386878967290002</c:v>
                </c:pt>
                <c:pt idx="58">
                  <c:v>63.214878082280002</c:v>
                </c:pt>
                <c:pt idx="59">
                  <c:v>63.77082824707</c:v>
                </c:pt>
                <c:pt idx="60">
                  <c:v>64.43569946289</c:v>
                </c:pt>
                <c:pt idx="61">
                  <c:v>65.048477172849999</c:v>
                </c:pt>
                <c:pt idx="62">
                  <c:v>65.738876342769998</c:v>
                </c:pt>
                <c:pt idx="63">
                  <c:v>66.377967834469999</c:v>
                </c:pt>
                <c:pt idx="64">
                  <c:v>66.849723815920001</c:v>
                </c:pt>
                <c:pt idx="65">
                  <c:v>67.57089996338</c:v>
                </c:pt>
                <c:pt idx="66">
                  <c:v>68.358909606929998</c:v>
                </c:pt>
                <c:pt idx="67">
                  <c:v>68.932487487789999</c:v>
                </c:pt>
                <c:pt idx="68">
                  <c:v>69.71681213379</c:v>
                </c:pt>
                <c:pt idx="69">
                  <c:v>70.287231445309999</c:v>
                </c:pt>
                <c:pt idx="70">
                  <c:v>70.939476013179998</c:v>
                </c:pt>
                <c:pt idx="71">
                  <c:v>71.495422363279999</c:v>
                </c:pt>
                <c:pt idx="72">
                  <c:v>72.26132965088</c:v>
                </c:pt>
                <c:pt idx="73">
                  <c:v>72.664154052729998</c:v>
                </c:pt>
                <c:pt idx="74">
                  <c:v>73.502410888669999</c:v>
                </c:pt>
                <c:pt idx="75">
                  <c:v>74.365142822270002</c:v>
                </c:pt>
                <c:pt idx="76">
                  <c:v>74.87978363037</c:v>
                </c:pt>
                <c:pt idx="77">
                  <c:v>75.226295471189999</c:v>
                </c:pt>
                <c:pt idx="78">
                  <c:v>75.94589996338</c:v>
                </c:pt>
                <c:pt idx="79">
                  <c:v>76.565254211430002</c:v>
                </c:pt>
                <c:pt idx="80">
                  <c:v>77.19960784912</c:v>
                </c:pt>
                <c:pt idx="81">
                  <c:v>78.082595825200002</c:v>
                </c:pt>
                <c:pt idx="82">
                  <c:v>78.453582763669999</c:v>
                </c:pt>
                <c:pt idx="83">
                  <c:v>79.05793762207</c:v>
                </c:pt>
                <c:pt idx="84">
                  <c:v>79.750701904300001</c:v>
                </c:pt>
                <c:pt idx="85">
                  <c:v>80.404006958010001</c:v>
                </c:pt>
                <c:pt idx="86">
                  <c:v>80.796569824220001</c:v>
                </c:pt>
                <c:pt idx="87">
                  <c:v>81.571151733400001</c:v>
                </c:pt>
                <c:pt idx="88">
                  <c:v>82.11289215088</c:v>
                </c:pt>
                <c:pt idx="89">
                  <c:v>82.718826293950002</c:v>
                </c:pt>
                <c:pt idx="90">
                  <c:v>83.346870422359999</c:v>
                </c:pt>
                <c:pt idx="91">
                  <c:v>83.88624572754</c:v>
                </c:pt>
                <c:pt idx="92">
                  <c:v>84.722396850590002</c:v>
                </c:pt>
                <c:pt idx="93">
                  <c:v>85.129959106450002</c:v>
                </c:pt>
                <c:pt idx="94">
                  <c:v>85.678527832029999</c:v>
                </c:pt>
                <c:pt idx="95">
                  <c:v>86.246856689449999</c:v>
                </c:pt>
                <c:pt idx="96">
                  <c:v>87.037231445309999</c:v>
                </c:pt>
                <c:pt idx="97">
                  <c:v>87.59238433838</c:v>
                </c:pt>
                <c:pt idx="98">
                  <c:v>88.100189208979998</c:v>
                </c:pt>
                <c:pt idx="99">
                  <c:v>88.818466186519998</c:v>
                </c:pt>
                <c:pt idx="100">
                  <c:v>89.453880310060001</c:v>
                </c:pt>
                <c:pt idx="101">
                  <c:v>89.969299316410002</c:v>
                </c:pt>
                <c:pt idx="102">
                  <c:v>90.539993286129999</c:v>
                </c:pt>
                <c:pt idx="103">
                  <c:v>91.32667541504</c:v>
                </c:pt>
                <c:pt idx="104">
                  <c:v>91.79711151123</c:v>
                </c:pt>
                <c:pt idx="105">
                  <c:v>92.327278137210001</c:v>
                </c:pt>
                <c:pt idx="106">
                  <c:v>92.855865478520002</c:v>
                </c:pt>
                <c:pt idx="107">
                  <c:v>93.48600769043</c:v>
                </c:pt>
                <c:pt idx="108">
                  <c:v>93.946975708010001</c:v>
                </c:pt>
                <c:pt idx="109">
                  <c:v>94.536598205570002</c:v>
                </c:pt>
                <c:pt idx="110">
                  <c:v>95.09228515625</c:v>
                </c:pt>
                <c:pt idx="111">
                  <c:v>95.699012756350001</c:v>
                </c:pt>
                <c:pt idx="112">
                  <c:v>96.288902282709998</c:v>
                </c:pt>
                <c:pt idx="113">
                  <c:v>96.841690063480002</c:v>
                </c:pt>
                <c:pt idx="114">
                  <c:v>97.379486083979998</c:v>
                </c:pt>
                <c:pt idx="115">
                  <c:v>98.102767944340002</c:v>
                </c:pt>
                <c:pt idx="116">
                  <c:v>98.540313720699999</c:v>
                </c:pt>
                <c:pt idx="117">
                  <c:v>98.998649597170001</c:v>
                </c:pt>
                <c:pt idx="118">
                  <c:v>99.672470092769998</c:v>
                </c:pt>
                <c:pt idx="119">
                  <c:v>100.2413101196</c:v>
                </c:pt>
                <c:pt idx="120">
                  <c:v>100.6496505737</c:v>
                </c:pt>
                <c:pt idx="121">
                  <c:v>100.9627532959</c:v>
                </c:pt>
                <c:pt idx="122">
                  <c:v>100.8648757935</c:v>
                </c:pt>
                <c:pt idx="123">
                  <c:v>100.5967712402</c:v>
                </c:pt>
                <c:pt idx="124">
                  <c:v>101.66919708250001</c:v>
                </c:pt>
                <c:pt idx="125">
                  <c:v>101.9278335571</c:v>
                </c:pt>
                <c:pt idx="126">
                  <c:v>101.93915557859999</c:v>
                </c:pt>
                <c:pt idx="127">
                  <c:v>101.92124938960001</c:v>
                </c:pt>
                <c:pt idx="128">
                  <c:v>102.12200927729999</c:v>
                </c:pt>
                <c:pt idx="129">
                  <c:v>102.1875152588</c:v>
                </c:pt>
                <c:pt idx="130">
                  <c:v>102.14910888670001</c:v>
                </c:pt>
                <c:pt idx="131">
                  <c:v>102.0893859863</c:v>
                </c:pt>
                <c:pt idx="132">
                  <c:v>102.1443786621</c:v>
                </c:pt>
                <c:pt idx="133">
                  <c:v>102.1940994263</c:v>
                </c:pt>
                <c:pt idx="134">
                  <c:v>102.05229187010001</c:v>
                </c:pt>
                <c:pt idx="135">
                  <c:v>102.03070831300001</c:v>
                </c:pt>
                <c:pt idx="136">
                  <c:v>102.239616394</c:v>
                </c:pt>
                <c:pt idx="137">
                  <c:v>102.26197814939999</c:v>
                </c:pt>
                <c:pt idx="138">
                  <c:v>102.4900970459</c:v>
                </c:pt>
                <c:pt idx="139">
                  <c:v>102.2093582153</c:v>
                </c:pt>
                <c:pt idx="140">
                  <c:v>102.3611755371</c:v>
                </c:pt>
                <c:pt idx="141">
                  <c:v>102.3398590088</c:v>
                </c:pt>
                <c:pt idx="142">
                  <c:v>102.0454406738</c:v>
                </c:pt>
                <c:pt idx="143">
                  <c:v>102.24198150629999</c:v>
                </c:pt>
                <c:pt idx="144">
                  <c:v>102.24435424799999</c:v>
                </c:pt>
                <c:pt idx="145">
                  <c:v>102.2214584351</c:v>
                </c:pt>
                <c:pt idx="146">
                  <c:v>102.2009353638</c:v>
                </c:pt>
                <c:pt idx="147">
                  <c:v>102.29302978520001</c:v>
                </c:pt>
                <c:pt idx="148">
                  <c:v>102.23514556879999</c:v>
                </c:pt>
                <c:pt idx="149">
                  <c:v>102.27671813960001</c:v>
                </c:pt>
                <c:pt idx="150">
                  <c:v>102.30355072019999</c:v>
                </c:pt>
                <c:pt idx="151">
                  <c:v>102.46667480470001</c:v>
                </c:pt>
                <c:pt idx="152">
                  <c:v>102.4424743652</c:v>
                </c:pt>
                <c:pt idx="153">
                  <c:v>102.2277832031</c:v>
                </c:pt>
                <c:pt idx="154">
                  <c:v>102.3393325806</c:v>
                </c:pt>
                <c:pt idx="155">
                  <c:v>102.4019546509</c:v>
                </c:pt>
                <c:pt idx="156">
                  <c:v>102.2593536377</c:v>
                </c:pt>
                <c:pt idx="157">
                  <c:v>102.3188095093</c:v>
                </c:pt>
                <c:pt idx="158">
                  <c:v>102.39432525629999</c:v>
                </c:pt>
                <c:pt idx="159">
                  <c:v>102.4216918945</c:v>
                </c:pt>
                <c:pt idx="160">
                  <c:v>102.2896118164</c:v>
                </c:pt>
                <c:pt idx="161">
                  <c:v>102.36511993409999</c:v>
                </c:pt>
                <c:pt idx="162">
                  <c:v>102.49798583979999</c:v>
                </c:pt>
                <c:pt idx="163">
                  <c:v>102.4940414429</c:v>
                </c:pt>
                <c:pt idx="164">
                  <c:v>102.3435516357</c:v>
                </c:pt>
                <c:pt idx="165">
                  <c:v>102.3093414307</c:v>
                </c:pt>
                <c:pt idx="166">
                  <c:v>102.4203796387</c:v>
                </c:pt>
                <c:pt idx="167">
                  <c:v>102.1572723389</c:v>
                </c:pt>
                <c:pt idx="168">
                  <c:v>102.2740859985</c:v>
                </c:pt>
                <c:pt idx="169">
                  <c:v>102.32512664790001</c:v>
                </c:pt>
                <c:pt idx="170">
                  <c:v>102.3580169678</c:v>
                </c:pt>
                <c:pt idx="171">
                  <c:v>102.3214416504</c:v>
                </c:pt>
                <c:pt idx="172">
                  <c:v>102.34618377690001</c:v>
                </c:pt>
                <c:pt idx="173">
                  <c:v>102.43353271479999</c:v>
                </c:pt>
                <c:pt idx="174">
                  <c:v>102.3703842163</c:v>
                </c:pt>
                <c:pt idx="175">
                  <c:v>102.2625045776</c:v>
                </c:pt>
                <c:pt idx="176">
                  <c:v>102.2904052734</c:v>
                </c:pt>
                <c:pt idx="177">
                  <c:v>102.22672271730001</c:v>
                </c:pt>
                <c:pt idx="178">
                  <c:v>102.2753982544</c:v>
                </c:pt>
                <c:pt idx="179">
                  <c:v>102.100692749</c:v>
                </c:pt>
                <c:pt idx="180">
                  <c:v>102.1064834595</c:v>
                </c:pt>
                <c:pt idx="181">
                  <c:v>102.1325302124</c:v>
                </c:pt>
                <c:pt idx="182">
                  <c:v>102.26513671879999</c:v>
                </c:pt>
                <c:pt idx="183">
                  <c:v>102.2561950684</c:v>
                </c:pt>
                <c:pt idx="184">
                  <c:v>102.2135772705</c:v>
                </c:pt>
                <c:pt idx="185">
                  <c:v>102.30065917970001</c:v>
                </c:pt>
                <c:pt idx="186">
                  <c:v>102.1588439941</c:v>
                </c:pt>
                <c:pt idx="187">
                  <c:v>102.0720214844</c:v>
                </c:pt>
                <c:pt idx="188">
                  <c:v>102.31224060060001</c:v>
                </c:pt>
                <c:pt idx="189">
                  <c:v>102.2359390259</c:v>
                </c:pt>
                <c:pt idx="190">
                  <c:v>102.0314941406</c:v>
                </c:pt>
                <c:pt idx="191">
                  <c:v>101.88442230219999</c:v>
                </c:pt>
                <c:pt idx="192">
                  <c:v>102.0065002441</c:v>
                </c:pt>
                <c:pt idx="193">
                  <c:v>101.8170623779</c:v>
                </c:pt>
                <c:pt idx="194">
                  <c:v>101.8681182861</c:v>
                </c:pt>
                <c:pt idx="195">
                  <c:v>101.94230651860001</c:v>
                </c:pt>
                <c:pt idx="196">
                  <c:v>102.0141296387</c:v>
                </c:pt>
                <c:pt idx="197">
                  <c:v>101.95282745359999</c:v>
                </c:pt>
                <c:pt idx="198">
                  <c:v>101.7673416138</c:v>
                </c:pt>
                <c:pt idx="199">
                  <c:v>101.88442230219999</c:v>
                </c:pt>
                <c:pt idx="200">
                  <c:v>101.87599945069999</c:v>
                </c:pt>
                <c:pt idx="201">
                  <c:v>101.77839660639999</c:v>
                </c:pt>
                <c:pt idx="202">
                  <c:v>101.694984436</c:v>
                </c:pt>
                <c:pt idx="203">
                  <c:v>101.67077636720001</c:v>
                </c:pt>
                <c:pt idx="204">
                  <c:v>101.62605285639999</c:v>
                </c:pt>
                <c:pt idx="205">
                  <c:v>101.48606872560001</c:v>
                </c:pt>
                <c:pt idx="206">
                  <c:v>101.44871521</c:v>
                </c:pt>
                <c:pt idx="207">
                  <c:v>101.5750045776</c:v>
                </c:pt>
                <c:pt idx="208">
                  <c:v>101.583694458</c:v>
                </c:pt>
                <c:pt idx="209">
                  <c:v>101.4834518433</c:v>
                </c:pt>
                <c:pt idx="210">
                  <c:v>101.42004394529999</c:v>
                </c:pt>
                <c:pt idx="211">
                  <c:v>101.5802688599</c:v>
                </c:pt>
                <c:pt idx="212">
                  <c:v>101.3910980225</c:v>
                </c:pt>
                <c:pt idx="213">
                  <c:v>101.3916168213</c:v>
                </c:pt>
                <c:pt idx="214">
                  <c:v>101.3158416748</c:v>
                </c:pt>
                <c:pt idx="215">
                  <c:v>101.3271636963</c:v>
                </c:pt>
                <c:pt idx="216">
                  <c:v>101.2079696655</c:v>
                </c:pt>
                <c:pt idx="217">
                  <c:v>101.1298294067</c:v>
                </c:pt>
                <c:pt idx="218">
                  <c:v>101.0858917236</c:v>
                </c:pt>
                <c:pt idx="219">
                  <c:v>101.17561340330001</c:v>
                </c:pt>
                <c:pt idx="220">
                  <c:v>101.1298294067</c:v>
                </c:pt>
                <c:pt idx="221">
                  <c:v>100.9730148315</c:v>
                </c:pt>
                <c:pt idx="222">
                  <c:v>101.0337905884</c:v>
                </c:pt>
                <c:pt idx="223">
                  <c:v>101.1650848389</c:v>
                </c:pt>
                <c:pt idx="224">
                  <c:v>100.89776611329999</c:v>
                </c:pt>
                <c:pt idx="225">
                  <c:v>100.9716949463</c:v>
                </c:pt>
                <c:pt idx="226">
                  <c:v>100.9822235107</c:v>
                </c:pt>
                <c:pt idx="227">
                  <c:v>100.90803527830001</c:v>
                </c:pt>
                <c:pt idx="228">
                  <c:v>100.6638641357</c:v>
                </c:pt>
                <c:pt idx="229">
                  <c:v>100.7404251099</c:v>
                </c:pt>
                <c:pt idx="230">
                  <c:v>100.7720031738</c:v>
                </c:pt>
                <c:pt idx="231">
                  <c:v>100.623336792</c:v>
                </c:pt>
                <c:pt idx="232">
                  <c:v>100.5849304199</c:v>
                </c:pt>
                <c:pt idx="233">
                  <c:v>100.54177856450001</c:v>
                </c:pt>
                <c:pt idx="234">
                  <c:v>100.4591674805</c:v>
                </c:pt>
                <c:pt idx="235">
                  <c:v>100.58020019529999</c:v>
                </c:pt>
                <c:pt idx="236">
                  <c:v>100.45337677000001</c:v>
                </c:pt>
                <c:pt idx="237">
                  <c:v>100.49099731450001</c:v>
                </c:pt>
                <c:pt idx="238">
                  <c:v>100.44548034669999</c:v>
                </c:pt>
                <c:pt idx="239">
                  <c:v>100.3207702637</c:v>
                </c:pt>
                <c:pt idx="240">
                  <c:v>100.1692199707</c:v>
                </c:pt>
                <c:pt idx="241">
                  <c:v>100.2915649414</c:v>
                </c:pt>
                <c:pt idx="242">
                  <c:v>100.2631454468</c:v>
                </c:pt>
                <c:pt idx="243">
                  <c:v>100.0823974609</c:v>
                </c:pt>
                <c:pt idx="244">
                  <c:v>100.0860748291</c:v>
                </c:pt>
                <c:pt idx="245">
                  <c:v>100.1089630127</c:v>
                </c:pt>
                <c:pt idx="246">
                  <c:v>100.02188110349999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247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247"/>
                <c:pt idx="0">
                  <c:v>24.673210144039999</c:v>
                </c:pt>
                <c:pt idx="1">
                  <c:v>24.573490142819999</c:v>
                </c:pt>
                <c:pt idx="2">
                  <c:v>24.497451782230002</c:v>
                </c:pt>
                <c:pt idx="3">
                  <c:v>24.769245147709999</c:v>
                </c:pt>
                <c:pt idx="4">
                  <c:v>25.485424041750001</c:v>
                </c:pt>
                <c:pt idx="5">
                  <c:v>26.330528259280001</c:v>
                </c:pt>
                <c:pt idx="6">
                  <c:v>27.005924224849998</c:v>
                </c:pt>
                <c:pt idx="7">
                  <c:v>27.544246673579998</c:v>
                </c:pt>
                <c:pt idx="8">
                  <c:v>28.363039016719998</c:v>
                </c:pt>
                <c:pt idx="9">
                  <c:v>29.145784378049999</c:v>
                </c:pt>
                <c:pt idx="10">
                  <c:v>29.813554763789998</c:v>
                </c:pt>
                <c:pt idx="11">
                  <c:v>30.547100067140001</c:v>
                </c:pt>
                <c:pt idx="12">
                  <c:v>31.183032989499999</c:v>
                </c:pt>
                <c:pt idx="13">
                  <c:v>32.061813354489999</c:v>
                </c:pt>
                <c:pt idx="14">
                  <c:v>32.719581603999998</c:v>
                </c:pt>
                <c:pt idx="15">
                  <c:v>33.246852874760002</c:v>
                </c:pt>
                <c:pt idx="16">
                  <c:v>34.031707763669999</c:v>
                </c:pt>
                <c:pt idx="17">
                  <c:v>35.008361816410002</c:v>
                </c:pt>
                <c:pt idx="18">
                  <c:v>35.654556274409998</c:v>
                </c:pt>
                <c:pt idx="19">
                  <c:v>36.204189300540001</c:v>
                </c:pt>
                <c:pt idx="20">
                  <c:v>37.052715301509998</c:v>
                </c:pt>
                <c:pt idx="21">
                  <c:v>37.90439605713</c:v>
                </c:pt>
                <c:pt idx="22">
                  <c:v>38.502178192140001</c:v>
                </c:pt>
                <c:pt idx="23">
                  <c:v>39.154159545900001</c:v>
                </c:pt>
                <c:pt idx="24">
                  <c:v>39.920330047610001</c:v>
                </c:pt>
                <c:pt idx="25">
                  <c:v>40.554424285890001</c:v>
                </c:pt>
                <c:pt idx="26">
                  <c:v>41.310066223139998</c:v>
                </c:pt>
                <c:pt idx="27">
                  <c:v>41.79997253418</c:v>
                </c:pt>
                <c:pt idx="28">
                  <c:v>42.564044952389999</c:v>
                </c:pt>
                <c:pt idx="29">
                  <c:v>43.368362426760001</c:v>
                </c:pt>
                <c:pt idx="30">
                  <c:v>44.068756103520002</c:v>
                </c:pt>
                <c:pt idx="31">
                  <c:v>44.687591552729998</c:v>
                </c:pt>
                <c:pt idx="32">
                  <c:v>45.577159881589999</c:v>
                </c:pt>
                <c:pt idx="33">
                  <c:v>46.621700286870002</c:v>
                </c:pt>
                <c:pt idx="34">
                  <c:v>47.232109069819998</c:v>
                </c:pt>
                <c:pt idx="35">
                  <c:v>47.65334701538</c:v>
                </c:pt>
                <c:pt idx="36">
                  <c:v>48.445823669429998</c:v>
                </c:pt>
                <c:pt idx="37">
                  <c:v>48.833908081049998</c:v>
                </c:pt>
                <c:pt idx="38">
                  <c:v>49.656913757319998</c:v>
                </c:pt>
                <c:pt idx="39">
                  <c:v>50.279956817630001</c:v>
                </c:pt>
                <c:pt idx="40">
                  <c:v>50.964820861820002</c:v>
                </c:pt>
                <c:pt idx="41">
                  <c:v>51.78519821167</c:v>
                </c:pt>
                <c:pt idx="42">
                  <c:v>52.32614517212</c:v>
                </c:pt>
                <c:pt idx="43">
                  <c:v>53.033908843989998</c:v>
                </c:pt>
                <c:pt idx="44">
                  <c:v>53.834281921390001</c:v>
                </c:pt>
                <c:pt idx="45">
                  <c:v>54.544147491460002</c:v>
                </c:pt>
                <c:pt idx="46">
                  <c:v>55.060890197749998</c:v>
                </c:pt>
                <c:pt idx="47">
                  <c:v>55.797073364260001</c:v>
                </c:pt>
                <c:pt idx="48">
                  <c:v>56.381698608400001</c:v>
                </c:pt>
                <c:pt idx="49">
                  <c:v>57.244430541989999</c:v>
                </c:pt>
                <c:pt idx="50">
                  <c:v>57.699081420900001</c:v>
                </c:pt>
                <c:pt idx="51">
                  <c:v>58.479457855219998</c:v>
                </c:pt>
                <c:pt idx="52">
                  <c:v>59.058563232419999</c:v>
                </c:pt>
                <c:pt idx="53">
                  <c:v>59.707122802729998</c:v>
                </c:pt>
                <c:pt idx="54">
                  <c:v>60.469608306879998</c:v>
                </c:pt>
                <c:pt idx="55">
                  <c:v>61.160793304439999</c:v>
                </c:pt>
                <c:pt idx="56">
                  <c:v>61.782516479489999</c:v>
                </c:pt>
                <c:pt idx="57">
                  <c:v>62.386878967290002</c:v>
                </c:pt>
                <c:pt idx="58">
                  <c:v>63.214878082280002</c:v>
                </c:pt>
                <c:pt idx="59">
                  <c:v>63.77082824707</c:v>
                </c:pt>
                <c:pt idx="60">
                  <c:v>64.43569946289</c:v>
                </c:pt>
                <c:pt idx="61">
                  <c:v>65.048477172849999</c:v>
                </c:pt>
                <c:pt idx="62">
                  <c:v>65.738876342769998</c:v>
                </c:pt>
                <c:pt idx="63">
                  <c:v>66.377967834469999</c:v>
                </c:pt>
                <c:pt idx="64">
                  <c:v>66.849723815920001</c:v>
                </c:pt>
                <c:pt idx="65">
                  <c:v>67.57089996338</c:v>
                </c:pt>
                <c:pt idx="66">
                  <c:v>68.358909606929998</c:v>
                </c:pt>
                <c:pt idx="67">
                  <c:v>68.932487487789999</c:v>
                </c:pt>
                <c:pt idx="68">
                  <c:v>69.71681213379</c:v>
                </c:pt>
                <c:pt idx="69">
                  <c:v>70.287231445309999</c:v>
                </c:pt>
                <c:pt idx="70">
                  <c:v>70.939476013179998</c:v>
                </c:pt>
                <c:pt idx="71">
                  <c:v>71.495422363279999</c:v>
                </c:pt>
                <c:pt idx="72">
                  <c:v>72.26132965088</c:v>
                </c:pt>
                <c:pt idx="73">
                  <c:v>72.664154052729998</c:v>
                </c:pt>
                <c:pt idx="74">
                  <c:v>73.502410888669999</c:v>
                </c:pt>
                <c:pt idx="75">
                  <c:v>74.365142822270002</c:v>
                </c:pt>
                <c:pt idx="76">
                  <c:v>74.87978363037</c:v>
                </c:pt>
                <c:pt idx="77">
                  <c:v>75.226295471189999</c:v>
                </c:pt>
                <c:pt idx="78">
                  <c:v>75.94589996338</c:v>
                </c:pt>
                <c:pt idx="79">
                  <c:v>76.565254211430002</c:v>
                </c:pt>
                <c:pt idx="80">
                  <c:v>77.19960784912</c:v>
                </c:pt>
                <c:pt idx="81">
                  <c:v>78.082595825200002</c:v>
                </c:pt>
                <c:pt idx="82">
                  <c:v>78.453582763669999</c:v>
                </c:pt>
                <c:pt idx="83">
                  <c:v>79.05793762207</c:v>
                </c:pt>
                <c:pt idx="84">
                  <c:v>79.750701904300001</c:v>
                </c:pt>
                <c:pt idx="85">
                  <c:v>80.404006958010001</c:v>
                </c:pt>
                <c:pt idx="86">
                  <c:v>80.796569824220001</c:v>
                </c:pt>
                <c:pt idx="87">
                  <c:v>81.571151733400001</c:v>
                </c:pt>
                <c:pt idx="88">
                  <c:v>82.11289215088</c:v>
                </c:pt>
                <c:pt idx="89">
                  <c:v>82.718826293950002</c:v>
                </c:pt>
                <c:pt idx="90">
                  <c:v>83.346870422359999</c:v>
                </c:pt>
                <c:pt idx="91">
                  <c:v>83.88624572754</c:v>
                </c:pt>
                <c:pt idx="92">
                  <c:v>84.722396850590002</c:v>
                </c:pt>
                <c:pt idx="93">
                  <c:v>85.129959106450002</c:v>
                </c:pt>
                <c:pt idx="94">
                  <c:v>85.678527832029999</c:v>
                </c:pt>
                <c:pt idx="95">
                  <c:v>86.246856689449999</c:v>
                </c:pt>
                <c:pt idx="96">
                  <c:v>87.037231445309999</c:v>
                </c:pt>
                <c:pt idx="97">
                  <c:v>87.59238433838</c:v>
                </c:pt>
                <c:pt idx="98">
                  <c:v>88.100189208979998</c:v>
                </c:pt>
                <c:pt idx="99">
                  <c:v>88.818466186519998</c:v>
                </c:pt>
                <c:pt idx="100">
                  <c:v>89.453880310060001</c:v>
                </c:pt>
                <c:pt idx="101">
                  <c:v>89.969299316410002</c:v>
                </c:pt>
                <c:pt idx="102">
                  <c:v>90.539993286129999</c:v>
                </c:pt>
                <c:pt idx="103">
                  <c:v>91.32667541504</c:v>
                </c:pt>
                <c:pt idx="104">
                  <c:v>91.79711151123</c:v>
                </c:pt>
                <c:pt idx="105">
                  <c:v>92.327278137210001</c:v>
                </c:pt>
                <c:pt idx="106">
                  <c:v>92.855865478520002</c:v>
                </c:pt>
                <c:pt idx="107">
                  <c:v>93.48600769043</c:v>
                </c:pt>
                <c:pt idx="108">
                  <c:v>93.946975708010001</c:v>
                </c:pt>
                <c:pt idx="109">
                  <c:v>94.536598205570002</c:v>
                </c:pt>
                <c:pt idx="110">
                  <c:v>95.09228515625</c:v>
                </c:pt>
                <c:pt idx="111">
                  <c:v>95.699012756350001</c:v>
                </c:pt>
                <c:pt idx="112">
                  <c:v>96.288902282709998</c:v>
                </c:pt>
                <c:pt idx="113">
                  <c:v>96.841690063480002</c:v>
                </c:pt>
                <c:pt idx="114">
                  <c:v>97.379486083979998</c:v>
                </c:pt>
                <c:pt idx="115">
                  <c:v>98.102767944340002</c:v>
                </c:pt>
                <c:pt idx="116">
                  <c:v>98.540313720699999</c:v>
                </c:pt>
                <c:pt idx="117">
                  <c:v>98.998649597170001</c:v>
                </c:pt>
                <c:pt idx="118">
                  <c:v>99.672470092769998</c:v>
                </c:pt>
                <c:pt idx="119">
                  <c:v>100.2413101196</c:v>
                </c:pt>
                <c:pt idx="120">
                  <c:v>100.6496505737</c:v>
                </c:pt>
                <c:pt idx="121">
                  <c:v>100.9627532959</c:v>
                </c:pt>
                <c:pt idx="122">
                  <c:v>100.8648757935</c:v>
                </c:pt>
                <c:pt idx="123">
                  <c:v>100.5967712402</c:v>
                </c:pt>
                <c:pt idx="124">
                  <c:v>101.66919708250001</c:v>
                </c:pt>
                <c:pt idx="125">
                  <c:v>101.9278335571</c:v>
                </c:pt>
                <c:pt idx="126">
                  <c:v>101.93915557859999</c:v>
                </c:pt>
                <c:pt idx="127">
                  <c:v>101.92124938960001</c:v>
                </c:pt>
                <c:pt idx="128">
                  <c:v>102.12200927729999</c:v>
                </c:pt>
                <c:pt idx="129">
                  <c:v>102.1875152588</c:v>
                </c:pt>
                <c:pt idx="130">
                  <c:v>102.14910888670001</c:v>
                </c:pt>
                <c:pt idx="131">
                  <c:v>102.0893859863</c:v>
                </c:pt>
                <c:pt idx="132">
                  <c:v>102.1443786621</c:v>
                </c:pt>
                <c:pt idx="133">
                  <c:v>102.1940994263</c:v>
                </c:pt>
                <c:pt idx="134">
                  <c:v>102.05229187010001</c:v>
                </c:pt>
                <c:pt idx="135">
                  <c:v>102.03070831300001</c:v>
                </c:pt>
                <c:pt idx="136">
                  <c:v>102.239616394</c:v>
                </c:pt>
                <c:pt idx="137">
                  <c:v>102.26197814939999</c:v>
                </c:pt>
                <c:pt idx="138">
                  <c:v>102.4900970459</c:v>
                </c:pt>
                <c:pt idx="139">
                  <c:v>102.2093582153</c:v>
                </c:pt>
                <c:pt idx="140">
                  <c:v>102.3611755371</c:v>
                </c:pt>
                <c:pt idx="141">
                  <c:v>102.3398590088</c:v>
                </c:pt>
                <c:pt idx="142">
                  <c:v>102.0454406738</c:v>
                </c:pt>
                <c:pt idx="143">
                  <c:v>102.24198150629999</c:v>
                </c:pt>
                <c:pt idx="144">
                  <c:v>102.24435424799999</c:v>
                </c:pt>
                <c:pt idx="145">
                  <c:v>102.2214584351</c:v>
                </c:pt>
                <c:pt idx="146">
                  <c:v>102.2009353638</c:v>
                </c:pt>
                <c:pt idx="147">
                  <c:v>102.29302978520001</c:v>
                </c:pt>
                <c:pt idx="148">
                  <c:v>102.23514556879999</c:v>
                </c:pt>
                <c:pt idx="149">
                  <c:v>102.27671813960001</c:v>
                </c:pt>
                <c:pt idx="150">
                  <c:v>102.30355072019999</c:v>
                </c:pt>
                <c:pt idx="151">
                  <c:v>102.46667480470001</c:v>
                </c:pt>
                <c:pt idx="152">
                  <c:v>102.4424743652</c:v>
                </c:pt>
                <c:pt idx="153">
                  <c:v>102.2277832031</c:v>
                </c:pt>
                <c:pt idx="154">
                  <c:v>102.3393325806</c:v>
                </c:pt>
                <c:pt idx="155">
                  <c:v>102.4019546509</c:v>
                </c:pt>
                <c:pt idx="156">
                  <c:v>102.2593536377</c:v>
                </c:pt>
                <c:pt idx="157">
                  <c:v>102.3188095093</c:v>
                </c:pt>
                <c:pt idx="158">
                  <c:v>102.39432525629999</c:v>
                </c:pt>
                <c:pt idx="159">
                  <c:v>102.4216918945</c:v>
                </c:pt>
                <c:pt idx="160">
                  <c:v>102.2896118164</c:v>
                </c:pt>
                <c:pt idx="161">
                  <c:v>102.36511993409999</c:v>
                </c:pt>
                <c:pt idx="162">
                  <c:v>102.49798583979999</c:v>
                </c:pt>
                <c:pt idx="163">
                  <c:v>102.4940414429</c:v>
                </c:pt>
                <c:pt idx="164">
                  <c:v>102.3435516357</c:v>
                </c:pt>
                <c:pt idx="165">
                  <c:v>102.3093414307</c:v>
                </c:pt>
                <c:pt idx="166">
                  <c:v>102.4203796387</c:v>
                </c:pt>
                <c:pt idx="167">
                  <c:v>102.1572723389</c:v>
                </c:pt>
                <c:pt idx="168">
                  <c:v>102.2740859985</c:v>
                </c:pt>
                <c:pt idx="169">
                  <c:v>102.32512664790001</c:v>
                </c:pt>
                <c:pt idx="170">
                  <c:v>102.3580169678</c:v>
                </c:pt>
                <c:pt idx="171">
                  <c:v>102.3214416504</c:v>
                </c:pt>
                <c:pt idx="172">
                  <c:v>102.34618377690001</c:v>
                </c:pt>
                <c:pt idx="173">
                  <c:v>102.43353271479999</c:v>
                </c:pt>
                <c:pt idx="174">
                  <c:v>102.3703842163</c:v>
                </c:pt>
                <c:pt idx="175">
                  <c:v>102.2625045776</c:v>
                </c:pt>
                <c:pt idx="176">
                  <c:v>102.2904052734</c:v>
                </c:pt>
                <c:pt idx="177">
                  <c:v>102.22672271730001</c:v>
                </c:pt>
                <c:pt idx="178">
                  <c:v>102.2753982544</c:v>
                </c:pt>
                <c:pt idx="179">
                  <c:v>102.100692749</c:v>
                </c:pt>
                <c:pt idx="180">
                  <c:v>102.1064834595</c:v>
                </c:pt>
                <c:pt idx="181">
                  <c:v>102.1325302124</c:v>
                </c:pt>
                <c:pt idx="182">
                  <c:v>102.26513671879999</c:v>
                </c:pt>
                <c:pt idx="183">
                  <c:v>102.2561950684</c:v>
                </c:pt>
                <c:pt idx="184">
                  <c:v>102.2135772705</c:v>
                </c:pt>
                <c:pt idx="185">
                  <c:v>102.30065917970001</c:v>
                </c:pt>
                <c:pt idx="186">
                  <c:v>102.1588439941</c:v>
                </c:pt>
                <c:pt idx="187">
                  <c:v>102.0720214844</c:v>
                </c:pt>
                <c:pt idx="188">
                  <c:v>102.31224060060001</c:v>
                </c:pt>
                <c:pt idx="189">
                  <c:v>102.2359390259</c:v>
                </c:pt>
                <c:pt idx="190">
                  <c:v>102.0314941406</c:v>
                </c:pt>
                <c:pt idx="191">
                  <c:v>101.88442230219999</c:v>
                </c:pt>
                <c:pt idx="192">
                  <c:v>102.0065002441</c:v>
                </c:pt>
                <c:pt idx="193">
                  <c:v>101.8170623779</c:v>
                </c:pt>
                <c:pt idx="194">
                  <c:v>101.8681182861</c:v>
                </c:pt>
                <c:pt idx="195">
                  <c:v>101.94230651860001</c:v>
                </c:pt>
                <c:pt idx="196">
                  <c:v>102.0141296387</c:v>
                </c:pt>
                <c:pt idx="197">
                  <c:v>101.95282745359999</c:v>
                </c:pt>
                <c:pt idx="198">
                  <c:v>101.7673416138</c:v>
                </c:pt>
                <c:pt idx="199">
                  <c:v>101.88442230219999</c:v>
                </c:pt>
                <c:pt idx="200">
                  <c:v>101.87599945069999</c:v>
                </c:pt>
                <c:pt idx="201">
                  <c:v>101.77839660639999</c:v>
                </c:pt>
                <c:pt idx="202">
                  <c:v>101.694984436</c:v>
                </c:pt>
                <c:pt idx="203">
                  <c:v>101.67077636720001</c:v>
                </c:pt>
                <c:pt idx="204">
                  <c:v>101.62605285639999</c:v>
                </c:pt>
                <c:pt idx="205">
                  <c:v>101.48606872560001</c:v>
                </c:pt>
                <c:pt idx="206">
                  <c:v>101.44871521</c:v>
                </c:pt>
                <c:pt idx="207">
                  <c:v>101.5750045776</c:v>
                </c:pt>
                <c:pt idx="208">
                  <c:v>101.583694458</c:v>
                </c:pt>
                <c:pt idx="209">
                  <c:v>101.4834518433</c:v>
                </c:pt>
                <c:pt idx="210">
                  <c:v>101.42004394529999</c:v>
                </c:pt>
                <c:pt idx="211">
                  <c:v>101.5802688599</c:v>
                </c:pt>
                <c:pt idx="212">
                  <c:v>101.3910980225</c:v>
                </c:pt>
                <c:pt idx="213">
                  <c:v>101.3916168213</c:v>
                </c:pt>
                <c:pt idx="214">
                  <c:v>101.3158416748</c:v>
                </c:pt>
                <c:pt idx="215">
                  <c:v>101.3271636963</c:v>
                </c:pt>
                <c:pt idx="216">
                  <c:v>101.2079696655</c:v>
                </c:pt>
                <c:pt idx="217">
                  <c:v>101.1298294067</c:v>
                </c:pt>
                <c:pt idx="218">
                  <c:v>101.0858917236</c:v>
                </c:pt>
                <c:pt idx="219">
                  <c:v>101.17561340330001</c:v>
                </c:pt>
                <c:pt idx="220">
                  <c:v>101.1298294067</c:v>
                </c:pt>
                <c:pt idx="221">
                  <c:v>100.9730148315</c:v>
                </c:pt>
                <c:pt idx="222">
                  <c:v>101.0337905884</c:v>
                </c:pt>
                <c:pt idx="223">
                  <c:v>101.1650848389</c:v>
                </c:pt>
                <c:pt idx="224">
                  <c:v>100.89776611329999</c:v>
                </c:pt>
                <c:pt idx="225">
                  <c:v>100.9716949463</c:v>
                </c:pt>
                <c:pt idx="226">
                  <c:v>100.9822235107</c:v>
                </c:pt>
                <c:pt idx="227">
                  <c:v>100.90803527830001</c:v>
                </c:pt>
                <c:pt idx="228">
                  <c:v>100.6638641357</c:v>
                </c:pt>
                <c:pt idx="229">
                  <c:v>100.7404251099</c:v>
                </c:pt>
                <c:pt idx="230">
                  <c:v>100.7720031738</c:v>
                </c:pt>
                <c:pt idx="231">
                  <c:v>100.623336792</c:v>
                </c:pt>
                <c:pt idx="232">
                  <c:v>100.5849304199</c:v>
                </c:pt>
                <c:pt idx="233">
                  <c:v>100.54177856450001</c:v>
                </c:pt>
                <c:pt idx="234">
                  <c:v>100.4591674805</c:v>
                </c:pt>
                <c:pt idx="235">
                  <c:v>100.58020019529999</c:v>
                </c:pt>
                <c:pt idx="236">
                  <c:v>100.45337677000001</c:v>
                </c:pt>
                <c:pt idx="237">
                  <c:v>100.49099731450001</c:v>
                </c:pt>
                <c:pt idx="238">
                  <c:v>100.44548034669999</c:v>
                </c:pt>
                <c:pt idx="239">
                  <c:v>100.3207702637</c:v>
                </c:pt>
                <c:pt idx="240">
                  <c:v>100.1692199707</c:v>
                </c:pt>
                <c:pt idx="241">
                  <c:v>100.2915649414</c:v>
                </c:pt>
                <c:pt idx="242">
                  <c:v>100.2631454468</c:v>
                </c:pt>
                <c:pt idx="243">
                  <c:v>100.0823974609</c:v>
                </c:pt>
                <c:pt idx="244">
                  <c:v>100.0860748291</c:v>
                </c:pt>
                <c:pt idx="245">
                  <c:v>100.1089630127</c:v>
                </c:pt>
                <c:pt idx="246">
                  <c:v>100.02188110349999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81-499C-8125-A931EC97B863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81-499C-8125-A931EC97B863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81-499C-8125-A931EC97B863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81-499C-8125-A931EC97B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workbookViewId="0">
      <selection activeCell="H37" sqref="H37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4"/>
      <c r="C1" s="54"/>
      <c r="D1" s="54"/>
      <c r="E1" s="54"/>
      <c r="F1" s="54"/>
      <c r="G1" s="54"/>
      <c r="H1" s="54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24.673210144039999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>
        <f t="shared" ref="BA5:BJ20" si="0">IF((L5)&lt;&gt;0,(L5),"")</f>
        <v>24.673210144039999</v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5"/>
      <c r="F6" s="56"/>
      <c r="G6" s="57"/>
      <c r="J6" s="7"/>
      <c r="K6" s="8">
        <v>0.10000000149009999</v>
      </c>
      <c r="L6" s="25">
        <v>24.573490142819999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0.10000000149009999</v>
      </c>
      <c r="BB6">
        <f t="shared" si="0"/>
        <v>24.573490142819999</v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0.20000000298019999</v>
      </c>
      <c r="L7" s="25">
        <v>24.497451782230002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0.20000000298019999</v>
      </c>
      <c r="BB7">
        <f t="shared" si="0"/>
        <v>24.497451782230002</v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33</v>
      </c>
      <c r="J8" s="7"/>
      <c r="K8" s="8">
        <v>0.30000001192089998</v>
      </c>
      <c r="L8" s="25">
        <v>24.769245147709999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0.30000001192089998</v>
      </c>
      <c r="BB8">
        <f t="shared" si="0"/>
        <v>24.769245147709999</v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0.4000000059605</v>
      </c>
      <c r="L9" s="25">
        <v>25.485424041750001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0.4000000059605</v>
      </c>
      <c r="BB9">
        <f t="shared" si="0"/>
        <v>25.485424041750001</v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0.5</v>
      </c>
      <c r="L10" s="25">
        <v>26.330528259280001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0.5</v>
      </c>
      <c r="BB10">
        <f t="shared" si="0"/>
        <v>26.330528259280001</v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0.60000002384189999</v>
      </c>
      <c r="L11" s="25">
        <v>27.005924224849998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0.60000002384189999</v>
      </c>
      <c r="BB11">
        <f t="shared" si="0"/>
        <v>27.005924224849998</v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0.69999998807910002</v>
      </c>
      <c r="L12" s="25">
        <v>27.544246673579998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0.69999998807910002</v>
      </c>
      <c r="BB12">
        <f t="shared" si="0"/>
        <v>27.544246673579998</v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0.80000001192089998</v>
      </c>
      <c r="L13" s="25">
        <v>28.363039016719998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0.80000001192089998</v>
      </c>
      <c r="BB13">
        <f t="shared" si="0"/>
        <v>28.363039016719998</v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0.89999997615810001</v>
      </c>
      <c r="L14" s="25">
        <v>29.145784378049999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0.89999997615810001</v>
      </c>
      <c r="BB14">
        <f t="shared" si="0"/>
        <v>29.145784378049999</v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1</v>
      </c>
      <c r="L15" s="25">
        <v>29.813554763789998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1</v>
      </c>
      <c r="BB15">
        <f t="shared" si="0"/>
        <v>29.813554763789998</v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1.100000023842</v>
      </c>
      <c r="L16" s="25">
        <v>30.547100067140001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1.100000023842</v>
      </c>
      <c r="BB16">
        <f t="shared" si="0"/>
        <v>30.547100067140001</v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>
        <v>46357</v>
      </c>
      <c r="J17" s="7"/>
      <c r="K17" s="8">
        <v>1.200000047684</v>
      </c>
      <c r="L17" s="25">
        <v>31.183032989499999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1.200000047684</v>
      </c>
      <c r="BB17">
        <f t="shared" si="0"/>
        <v>31.183032989499999</v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0.59236111111111112</v>
      </c>
      <c r="J18" s="7"/>
      <c r="K18" s="8">
        <v>1.299999952316</v>
      </c>
      <c r="L18" s="25">
        <v>32.061813354489999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1.299999952316</v>
      </c>
      <c r="BB18">
        <f t="shared" si="0"/>
        <v>32.061813354489999</v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1.399999976158</v>
      </c>
      <c r="L19" s="25">
        <v>32.719581603999998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1.399999976158</v>
      </c>
      <c r="BB19">
        <f t="shared" si="0"/>
        <v>32.719581603999998</v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1.5</v>
      </c>
      <c r="L20" s="25">
        <v>33.246852874760002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1.5</v>
      </c>
      <c r="BB20">
        <f t="shared" si="0"/>
        <v>33.246852874760002</v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1.600000023842</v>
      </c>
      <c r="L21" s="25">
        <v>34.031707763669999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1.600000023842</v>
      </c>
      <c r="BB21">
        <f t="shared" ref="BB21:BD84" si="7">IF((L21)&lt;&gt;0,(L21),"")</f>
        <v>34.031707763669999</v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1</v>
      </c>
      <c r="J22" s="7"/>
      <c r="K22" s="8">
        <v>1.700000047684</v>
      </c>
      <c r="L22" s="25">
        <v>35.008361816410002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1.700000047684</v>
      </c>
      <c r="BB22">
        <f t="shared" si="7"/>
        <v>35.008361816410002</v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1.799999952316</v>
      </c>
      <c r="L23" s="25">
        <v>35.654556274409998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1.799999952316</v>
      </c>
      <c r="BB23">
        <f t="shared" si="7"/>
        <v>35.654556274409998</v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1.899999976158</v>
      </c>
      <c r="L24" s="25">
        <v>36.204189300540001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1.899999976158</v>
      </c>
      <c r="BB24">
        <f t="shared" si="7"/>
        <v>36.204189300540001</v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60">
        <v>1</v>
      </c>
      <c r="J25" s="7"/>
      <c r="K25" s="8">
        <v>2</v>
      </c>
      <c r="L25" s="25">
        <v>37.052715301509998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2</v>
      </c>
      <c r="BB25">
        <f t="shared" si="7"/>
        <v>37.052715301509998</v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2.099999904633</v>
      </c>
      <c r="L26" s="25">
        <v>37.90439605713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2.099999904633</v>
      </c>
      <c r="BB26">
        <f t="shared" si="7"/>
        <v>37.90439605713</v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2.200000047684</v>
      </c>
      <c r="L27" s="25">
        <v>38.502178192140001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2.200000047684</v>
      </c>
      <c r="BB27">
        <f t="shared" si="7"/>
        <v>38.502178192140001</v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2.299999952316</v>
      </c>
      <c r="L28" s="25">
        <v>39.154159545900001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2.299999952316</v>
      </c>
      <c r="BB28">
        <f t="shared" si="7"/>
        <v>39.154159545900001</v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2.400000095367</v>
      </c>
      <c r="L29" s="25">
        <v>39.920330047610001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2.400000095367</v>
      </c>
      <c r="BB29">
        <f t="shared" si="7"/>
        <v>39.920330047610001</v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2.5</v>
      </c>
      <c r="L30" s="25">
        <v>40.554424285890001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2.5</v>
      </c>
      <c r="BB30">
        <f t="shared" si="7"/>
        <v>40.554424285890001</v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2.599999904633</v>
      </c>
      <c r="L31" s="25">
        <v>41.310066223139998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2.599999904633</v>
      </c>
      <c r="BB31">
        <f t="shared" si="7"/>
        <v>41.310066223139998</v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2.700000047684</v>
      </c>
      <c r="L32" s="25">
        <v>41.79997253418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2.700000047684</v>
      </c>
      <c r="BB32">
        <f t="shared" si="7"/>
        <v>41.79997253418</v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2.799999952316</v>
      </c>
      <c r="L33" s="25">
        <v>42.564044952389999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2.799999952316</v>
      </c>
      <c r="BB33">
        <f t="shared" si="7"/>
        <v>42.564044952389999</v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2.900000095367</v>
      </c>
      <c r="L34" s="25">
        <v>43.368362426760001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2.900000095367</v>
      </c>
      <c r="BB34">
        <f t="shared" si="7"/>
        <v>43.368362426760001</v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3</v>
      </c>
      <c r="L35" s="25">
        <v>44.068756103520002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3</v>
      </c>
      <c r="BB35">
        <f t="shared" si="7"/>
        <v>44.068756103520002</v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3.099999904633</v>
      </c>
      <c r="L36" s="25">
        <v>44.687591552729998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3.099999904633</v>
      </c>
      <c r="BB36">
        <f t="shared" si="7"/>
        <v>44.687591552729998</v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3.200000047684</v>
      </c>
      <c r="L37" s="25">
        <v>45.577159881589999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3.200000047684</v>
      </c>
      <c r="BB37">
        <f t="shared" si="7"/>
        <v>45.577159881589999</v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3.299999952316</v>
      </c>
      <c r="L38" s="25">
        <v>46.621700286870002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3.299999952316</v>
      </c>
      <c r="BB38">
        <f t="shared" si="7"/>
        <v>46.621700286870002</v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3.400000095367</v>
      </c>
      <c r="L39" s="25">
        <v>47.232109069819998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3.400000095367</v>
      </c>
      <c r="BB39">
        <f t="shared" si="7"/>
        <v>47.232109069819998</v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3.5</v>
      </c>
      <c r="L40" s="25">
        <v>47.65334701538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3.5</v>
      </c>
      <c r="BB40">
        <f t="shared" si="7"/>
        <v>47.65334701538</v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3.599999904633</v>
      </c>
      <c r="L41" s="25">
        <v>48.445823669429998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3.599999904633</v>
      </c>
      <c r="BB41">
        <f t="shared" si="7"/>
        <v>48.445823669429998</v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3.700000047684</v>
      </c>
      <c r="L42" s="25">
        <v>48.833908081049998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3.700000047684</v>
      </c>
      <c r="BB42">
        <f t="shared" si="7"/>
        <v>48.833908081049998</v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3.799999952316</v>
      </c>
      <c r="L43" s="25">
        <v>49.656913757319998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3.799999952316</v>
      </c>
      <c r="BB43">
        <f t="shared" si="7"/>
        <v>49.656913757319998</v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3.900000095367</v>
      </c>
      <c r="L44" s="25">
        <v>50.279956817630001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3.900000095367</v>
      </c>
      <c r="BB44">
        <f t="shared" si="7"/>
        <v>50.279956817630001</v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4</v>
      </c>
      <c r="L45" s="25">
        <v>50.964820861820002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4</v>
      </c>
      <c r="BB45">
        <f t="shared" si="7"/>
        <v>50.964820861820002</v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4.099999904633</v>
      </c>
      <c r="L46" s="25">
        <v>51.78519821167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4.099999904633</v>
      </c>
      <c r="BB46">
        <f t="shared" si="7"/>
        <v>51.78519821167</v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4.1999998092649999</v>
      </c>
      <c r="L47" s="25">
        <v>52.32614517212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4.1999998092649999</v>
      </c>
      <c r="BB47">
        <f t="shared" si="7"/>
        <v>52.32614517212</v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4.3000001907350001</v>
      </c>
      <c r="L48" s="25">
        <v>53.033908843989998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4.3000001907350001</v>
      </c>
      <c r="BB48">
        <f t="shared" si="7"/>
        <v>53.033908843989998</v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4.400000095367</v>
      </c>
      <c r="L49" s="25">
        <v>53.834281921390001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4.400000095367</v>
      </c>
      <c r="BB49">
        <f t="shared" si="7"/>
        <v>53.834281921390001</v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4.5</v>
      </c>
      <c r="L50" s="25">
        <v>54.544147491460002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4.5</v>
      </c>
      <c r="BB50">
        <f t="shared" si="7"/>
        <v>54.544147491460002</v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4.599999904633</v>
      </c>
      <c r="L51" s="25">
        <v>55.060890197749998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4.599999904633</v>
      </c>
      <c r="BB51">
        <f t="shared" si="7"/>
        <v>55.060890197749998</v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4.6999998092649999</v>
      </c>
      <c r="L52" s="25">
        <v>55.797073364260001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4.6999998092649999</v>
      </c>
      <c r="BB52">
        <f t="shared" si="7"/>
        <v>55.797073364260001</v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4.8000001907350001</v>
      </c>
      <c r="L53" s="25">
        <v>56.381698608400001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4.8000001907350001</v>
      </c>
      <c r="BB53">
        <f t="shared" si="7"/>
        <v>56.381698608400001</v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4.900000095367</v>
      </c>
      <c r="L54" s="25">
        <v>57.244430541989999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4.900000095367</v>
      </c>
      <c r="BB54">
        <f t="shared" si="7"/>
        <v>57.244430541989999</v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5</v>
      </c>
      <c r="L55" s="25">
        <v>57.699081420900001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5</v>
      </c>
      <c r="BB55">
        <f t="shared" si="7"/>
        <v>57.699081420900001</v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5.099999904633</v>
      </c>
      <c r="L56" s="25">
        <v>58.479457855219998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5.099999904633</v>
      </c>
      <c r="BB56">
        <f t="shared" si="7"/>
        <v>58.479457855219998</v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5.1999998092649999</v>
      </c>
      <c r="L57" s="25">
        <v>59.058563232419999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5.1999998092649999</v>
      </c>
      <c r="BB57">
        <f t="shared" si="7"/>
        <v>59.058563232419999</v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5.3000001907350001</v>
      </c>
      <c r="L58" s="25">
        <v>59.707122802729998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5.3000001907350001</v>
      </c>
      <c r="BB58">
        <f t="shared" si="7"/>
        <v>59.707122802729998</v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5.400000095367</v>
      </c>
      <c r="L59" s="25">
        <v>60.469608306879998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5.400000095367</v>
      </c>
      <c r="BB59">
        <f t="shared" si="7"/>
        <v>60.469608306879998</v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5.5</v>
      </c>
      <c r="L60" s="25">
        <v>61.160793304439999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5.5</v>
      </c>
      <c r="BB60">
        <f t="shared" si="7"/>
        <v>61.160793304439999</v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5.599999904633</v>
      </c>
      <c r="L61" s="25">
        <v>61.782516479489999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5.599999904633</v>
      </c>
      <c r="BB61">
        <f t="shared" si="7"/>
        <v>61.782516479489999</v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5.6999998092649999</v>
      </c>
      <c r="L62" s="25">
        <v>62.386878967290002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5.6999998092649999</v>
      </c>
      <c r="BB62">
        <f t="shared" si="7"/>
        <v>62.386878967290002</v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5.8000001907350001</v>
      </c>
      <c r="L63" s="25">
        <v>63.214878082280002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5.8000001907350001</v>
      </c>
      <c r="BB63">
        <f t="shared" si="7"/>
        <v>63.214878082280002</v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5.900000095367</v>
      </c>
      <c r="L64" s="25">
        <v>63.77082824707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5.900000095367</v>
      </c>
      <c r="BB64">
        <f t="shared" si="7"/>
        <v>63.77082824707</v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6</v>
      </c>
      <c r="L65" s="25">
        <v>64.43569946289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6</v>
      </c>
      <c r="BB65">
        <f t="shared" si="7"/>
        <v>64.43569946289</v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6.099999904633</v>
      </c>
      <c r="L66" s="25">
        <v>65.048477172849999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6.099999904633</v>
      </c>
      <c r="BB66">
        <f t="shared" si="7"/>
        <v>65.048477172849999</v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6.1999998092649999</v>
      </c>
      <c r="L67" s="25">
        <v>65.738876342769998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6.1999998092649999</v>
      </c>
      <c r="BB67">
        <f t="shared" si="7"/>
        <v>65.738876342769998</v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6.3000001907350001</v>
      </c>
      <c r="L68" s="25">
        <v>66.377967834469999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6.3000001907350001</v>
      </c>
      <c r="BB68">
        <f t="shared" si="7"/>
        <v>66.377967834469999</v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6.400000095367</v>
      </c>
      <c r="L69" s="25">
        <v>66.849723815920001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6.400000095367</v>
      </c>
      <c r="BB69">
        <f t="shared" si="7"/>
        <v>66.849723815920001</v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6.5</v>
      </c>
      <c r="L70" s="25">
        <v>67.57089996338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6.5</v>
      </c>
      <c r="BB70">
        <f t="shared" si="7"/>
        <v>67.57089996338</v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6.599999904633</v>
      </c>
      <c r="L71" s="25">
        <v>68.358909606929998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6.599999904633</v>
      </c>
      <c r="BB71">
        <f t="shared" si="7"/>
        <v>68.358909606929998</v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6.6999998092649999</v>
      </c>
      <c r="L72" s="25">
        <v>68.932487487789999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6.6999998092649999</v>
      </c>
      <c r="BB72">
        <f t="shared" si="7"/>
        <v>68.932487487789999</v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6.8000001907350001</v>
      </c>
      <c r="L73" s="25">
        <v>69.71681213379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6.8000001907350001</v>
      </c>
      <c r="BB73">
        <f t="shared" si="7"/>
        <v>69.71681213379</v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6.900000095367</v>
      </c>
      <c r="L74" s="25">
        <v>70.287231445309999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6.900000095367</v>
      </c>
      <c r="BB74">
        <f t="shared" si="7"/>
        <v>70.287231445309999</v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7</v>
      </c>
      <c r="L75" s="25">
        <v>70.939476013179998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7</v>
      </c>
      <c r="BB75">
        <f t="shared" si="7"/>
        <v>70.939476013179998</v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7.099999904633</v>
      </c>
      <c r="L76" s="25">
        <v>71.495422363279999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7.099999904633</v>
      </c>
      <c r="BB76">
        <f t="shared" si="7"/>
        <v>71.495422363279999</v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7.1999998092649999</v>
      </c>
      <c r="L77" s="25">
        <v>72.26132965088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7.1999998092649999</v>
      </c>
      <c r="BB77">
        <f t="shared" si="7"/>
        <v>72.26132965088</v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7.3000001907350001</v>
      </c>
      <c r="L78" s="25">
        <v>72.664154052729998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7.3000001907350001</v>
      </c>
      <c r="BB78">
        <f t="shared" si="7"/>
        <v>72.664154052729998</v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7.400000095367</v>
      </c>
      <c r="L79" s="25">
        <v>73.502410888669999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7.400000095367</v>
      </c>
      <c r="BB79">
        <f t="shared" si="7"/>
        <v>73.502410888669999</v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7.5</v>
      </c>
      <c r="L80" s="25">
        <v>74.365142822270002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7.5</v>
      </c>
      <c r="BB80">
        <f t="shared" si="7"/>
        <v>74.365142822270002</v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7.599999904633</v>
      </c>
      <c r="L81" s="25">
        <v>74.87978363037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7.599999904633</v>
      </c>
      <c r="BB81">
        <f t="shared" si="7"/>
        <v>74.87978363037</v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7.6999998092649999</v>
      </c>
      <c r="L82" s="25">
        <v>75.226295471189999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7.6999998092649999</v>
      </c>
      <c r="BB82">
        <f t="shared" si="7"/>
        <v>75.226295471189999</v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7.8000001907350001</v>
      </c>
      <c r="L83" s="25">
        <v>75.94589996338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7.8000001907350001</v>
      </c>
      <c r="BB83">
        <f t="shared" si="7"/>
        <v>75.94589996338</v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7.900000095367</v>
      </c>
      <c r="L84" s="25">
        <v>76.565254211430002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7.900000095367</v>
      </c>
      <c r="BB84">
        <f t="shared" si="7"/>
        <v>76.565254211430002</v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8</v>
      </c>
      <c r="L85" s="25">
        <v>77.19960784912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8</v>
      </c>
      <c r="BB85">
        <f t="shared" ref="BB85:BJ148" si="13">IF((L85)&lt;&gt;0,(L85),"")</f>
        <v>77.19960784912</v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8.1000003814700001</v>
      </c>
      <c r="L86" s="25">
        <v>78.082595825200002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8.1000003814700001</v>
      </c>
      <c r="BB86">
        <f t="shared" si="13"/>
        <v>78.082595825200002</v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8.1999998092649999</v>
      </c>
      <c r="L87" s="25">
        <v>78.453582763669999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8.1999998092649999</v>
      </c>
      <c r="BB87">
        <f t="shared" si="13"/>
        <v>78.453582763669999</v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8.3000001907350001</v>
      </c>
      <c r="L88" s="25">
        <v>79.05793762207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8.3000001907350001</v>
      </c>
      <c r="BB88">
        <f t="shared" si="13"/>
        <v>79.05793762207</v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8.3999996185299999</v>
      </c>
      <c r="L89" s="25">
        <v>79.750701904300001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8.3999996185299999</v>
      </c>
      <c r="BB89">
        <f t="shared" si="13"/>
        <v>79.750701904300001</v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8.5</v>
      </c>
      <c r="L90" s="25">
        <v>80.404006958010001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8.5</v>
      </c>
      <c r="BB90">
        <f t="shared" si="13"/>
        <v>80.404006958010001</v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8.6000003814700001</v>
      </c>
      <c r="L91" s="25">
        <v>80.796569824220001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8.6000003814700001</v>
      </c>
      <c r="BB91">
        <f t="shared" si="13"/>
        <v>80.796569824220001</v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8.6999998092649999</v>
      </c>
      <c r="L92" s="25">
        <v>81.571151733400001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8.6999998092649999</v>
      </c>
      <c r="BB92">
        <f t="shared" si="13"/>
        <v>81.571151733400001</v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8.8000001907350001</v>
      </c>
      <c r="L93" s="25">
        <v>82.11289215088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8.8000001907350001</v>
      </c>
      <c r="BB93">
        <f t="shared" si="13"/>
        <v>82.11289215088</v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8.8999996185299999</v>
      </c>
      <c r="L94" s="25">
        <v>82.718826293950002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8.8999996185299999</v>
      </c>
      <c r="BB94">
        <f t="shared" si="13"/>
        <v>82.718826293950002</v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9</v>
      </c>
      <c r="L95" s="25">
        <v>83.346870422359999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9</v>
      </c>
      <c r="BB95">
        <f t="shared" si="13"/>
        <v>83.346870422359999</v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9.1000003814700001</v>
      </c>
      <c r="L96" s="25">
        <v>83.88624572754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9.1000003814700001</v>
      </c>
      <c r="BB96">
        <f t="shared" si="13"/>
        <v>83.88624572754</v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9.1999998092649999</v>
      </c>
      <c r="L97" s="25">
        <v>84.722396850590002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9.1999998092649999</v>
      </c>
      <c r="BB97">
        <f t="shared" si="13"/>
        <v>84.722396850590002</v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9.3000001907350001</v>
      </c>
      <c r="L98" s="25">
        <v>85.129959106450002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9.3000001907350001</v>
      </c>
      <c r="BB98">
        <f t="shared" si="13"/>
        <v>85.129959106450002</v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9.3999996185299999</v>
      </c>
      <c r="L99" s="25">
        <v>85.678527832029999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9.3999996185299999</v>
      </c>
      <c r="BB99">
        <f t="shared" si="13"/>
        <v>85.678527832029999</v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9.5</v>
      </c>
      <c r="L100" s="25">
        <v>86.246856689449999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9.5</v>
      </c>
      <c r="BB100">
        <f t="shared" si="13"/>
        <v>86.246856689449999</v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9.6000003814700001</v>
      </c>
      <c r="L101" s="25">
        <v>87.037231445309999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9.6000003814700001</v>
      </c>
      <c r="BB101">
        <f t="shared" si="13"/>
        <v>87.037231445309999</v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9.6999998092649999</v>
      </c>
      <c r="L102" s="25">
        <v>87.59238433838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9.6999998092649999</v>
      </c>
      <c r="BB102">
        <f t="shared" si="13"/>
        <v>87.59238433838</v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9.8000001907350001</v>
      </c>
      <c r="L103" s="25">
        <v>88.100189208979998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9.8000001907350001</v>
      </c>
      <c r="BB103">
        <f t="shared" si="13"/>
        <v>88.100189208979998</v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9.8999996185299999</v>
      </c>
      <c r="L104" s="25">
        <v>88.818466186519998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9.8999996185299999</v>
      </c>
      <c r="BB104">
        <f t="shared" si="13"/>
        <v>88.818466186519998</v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10</v>
      </c>
      <c r="L105" s="25">
        <v>89.453880310060001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10</v>
      </c>
      <c r="BB105">
        <f t="shared" si="13"/>
        <v>89.453880310060001</v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10.10000038147</v>
      </c>
      <c r="L106" s="25">
        <v>89.969299316410002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10.10000038147</v>
      </c>
      <c r="BB106">
        <f t="shared" si="13"/>
        <v>89.969299316410002</v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10.19999980927</v>
      </c>
      <c r="L107" s="25">
        <v>90.539993286129999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10.19999980927</v>
      </c>
      <c r="BB107">
        <f t="shared" si="13"/>
        <v>90.539993286129999</v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10.30000019073</v>
      </c>
      <c r="L108" s="25">
        <v>91.32667541504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10.30000019073</v>
      </c>
      <c r="BB108">
        <f t="shared" si="13"/>
        <v>91.32667541504</v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10.39999961853</v>
      </c>
      <c r="L109" s="25">
        <v>91.79711151123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10.39999961853</v>
      </c>
      <c r="BB109">
        <f t="shared" si="13"/>
        <v>91.79711151123</v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10.5</v>
      </c>
      <c r="L110" s="25">
        <v>92.327278137210001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10.5</v>
      </c>
      <c r="BB110">
        <f t="shared" si="13"/>
        <v>92.327278137210001</v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10.60000038147</v>
      </c>
      <c r="L111" s="25">
        <v>92.855865478520002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10.60000038147</v>
      </c>
      <c r="BB111">
        <f t="shared" si="13"/>
        <v>92.855865478520002</v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10.69999980927</v>
      </c>
      <c r="L112" s="25">
        <v>93.48600769043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10.69999980927</v>
      </c>
      <c r="BB112">
        <f t="shared" si="13"/>
        <v>93.48600769043</v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10.80000019073</v>
      </c>
      <c r="L113" s="25">
        <v>93.946975708010001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10.80000019073</v>
      </c>
      <c r="BB113">
        <f t="shared" si="13"/>
        <v>93.946975708010001</v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10.89999961853</v>
      </c>
      <c r="L114" s="25">
        <v>94.536598205570002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10.89999961853</v>
      </c>
      <c r="BB114">
        <f t="shared" si="13"/>
        <v>94.536598205570002</v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11</v>
      </c>
      <c r="L115" s="25">
        <v>95.09228515625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11</v>
      </c>
      <c r="BB115">
        <f t="shared" si="13"/>
        <v>95.09228515625</v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11.10000038147</v>
      </c>
      <c r="L116" s="25">
        <v>95.699012756350001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11.10000038147</v>
      </c>
      <c r="BB116">
        <f t="shared" si="13"/>
        <v>95.699012756350001</v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11.19999980927</v>
      </c>
      <c r="L117" s="25">
        <v>96.288902282709998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11.19999980927</v>
      </c>
      <c r="BB117">
        <f t="shared" si="13"/>
        <v>96.288902282709998</v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11.30000019073</v>
      </c>
      <c r="L118" s="25">
        <v>96.841690063480002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11.30000019073</v>
      </c>
      <c r="BB118">
        <f t="shared" si="13"/>
        <v>96.841690063480002</v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11.39999961853</v>
      </c>
      <c r="L119" s="25">
        <v>97.379486083979998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11.39999961853</v>
      </c>
      <c r="BB119">
        <f t="shared" si="13"/>
        <v>97.379486083979998</v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11.5</v>
      </c>
      <c r="L120" s="25">
        <v>98.102767944340002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11.5</v>
      </c>
      <c r="BB120">
        <f t="shared" si="13"/>
        <v>98.102767944340002</v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11.60000038147</v>
      </c>
      <c r="L121" s="25">
        <v>98.540313720699999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11.60000038147</v>
      </c>
      <c r="BB121">
        <f t="shared" si="13"/>
        <v>98.540313720699999</v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11.69999980927</v>
      </c>
      <c r="L122" s="25">
        <v>98.998649597170001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11.69999980927</v>
      </c>
      <c r="BB122">
        <f t="shared" si="13"/>
        <v>98.998649597170001</v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11.80000019073</v>
      </c>
      <c r="L123" s="25">
        <v>99.672470092769998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11.80000019073</v>
      </c>
      <c r="BB123">
        <f t="shared" si="13"/>
        <v>99.672470092769998</v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11.89999961853</v>
      </c>
      <c r="L124" s="25">
        <v>100.2413101196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11.89999961853</v>
      </c>
      <c r="BB124">
        <f t="shared" si="13"/>
        <v>100.2413101196</v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12</v>
      </c>
      <c r="L125" s="25">
        <v>100.6496505737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12</v>
      </c>
      <c r="BB125">
        <f t="shared" si="13"/>
        <v>100.6496505737</v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12.10000038147</v>
      </c>
      <c r="L126" s="25">
        <v>100.9627532959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12.10000038147</v>
      </c>
      <c r="BB126">
        <f t="shared" si="13"/>
        <v>100.9627532959</v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12.19999980927</v>
      </c>
      <c r="L127" s="25">
        <v>100.8648757935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12.19999980927</v>
      </c>
      <c r="BB127">
        <f t="shared" si="13"/>
        <v>100.8648757935</v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12.30000019073</v>
      </c>
      <c r="L128" s="25">
        <v>100.5967712402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12.30000019073</v>
      </c>
      <c r="BB128">
        <f t="shared" si="13"/>
        <v>100.5967712402</v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12.39999961853</v>
      </c>
      <c r="L129" s="25">
        <v>101.66919708250001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12.39999961853</v>
      </c>
      <c r="BB129">
        <f t="shared" si="13"/>
        <v>101.66919708250001</v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12.5</v>
      </c>
      <c r="L130" s="25">
        <v>101.9278335571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12.5</v>
      </c>
      <c r="BB130">
        <f t="shared" si="13"/>
        <v>101.9278335571</v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12.60000038147</v>
      </c>
      <c r="L131" s="25">
        <v>101.93915557859999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12.60000038147</v>
      </c>
      <c r="BB131">
        <f t="shared" si="13"/>
        <v>101.93915557859999</v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12.69999980927</v>
      </c>
      <c r="L132" s="25">
        <v>101.92124938960001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12.69999980927</v>
      </c>
      <c r="BB132">
        <f t="shared" si="13"/>
        <v>101.92124938960001</v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12.80000019073</v>
      </c>
      <c r="L133" s="25">
        <v>102.12200927729999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12.80000019073</v>
      </c>
      <c r="BB133">
        <f t="shared" si="13"/>
        <v>102.12200927729999</v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12.89999961853</v>
      </c>
      <c r="L134" s="25">
        <v>102.1875152588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12.89999961853</v>
      </c>
      <c r="BB134">
        <f t="shared" si="13"/>
        <v>102.1875152588</v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13</v>
      </c>
      <c r="L135" s="25">
        <v>102.14910888670001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13</v>
      </c>
      <c r="BB135">
        <f t="shared" si="13"/>
        <v>102.14910888670001</v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13.10000038147</v>
      </c>
      <c r="L136" s="25">
        <v>102.0893859863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13.10000038147</v>
      </c>
      <c r="BB136">
        <f t="shared" si="13"/>
        <v>102.0893859863</v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13.19999980927</v>
      </c>
      <c r="L137" s="25">
        <v>102.1443786621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13.19999980927</v>
      </c>
      <c r="BB137">
        <f t="shared" si="13"/>
        <v>102.1443786621</v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13.30000019073</v>
      </c>
      <c r="L138" s="25">
        <v>102.1940994263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13.30000019073</v>
      </c>
      <c r="BB138">
        <f t="shared" si="13"/>
        <v>102.1940994263</v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13.39999961853</v>
      </c>
      <c r="L139" s="25">
        <v>102.05229187010001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13.39999961853</v>
      </c>
      <c r="BB139">
        <f t="shared" si="13"/>
        <v>102.05229187010001</v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13.5</v>
      </c>
      <c r="L140" s="25">
        <v>102.03070831300001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13.5</v>
      </c>
      <c r="BB140">
        <f t="shared" si="13"/>
        <v>102.03070831300001</v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13.60000038147</v>
      </c>
      <c r="L141" s="25">
        <v>102.239616394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13.60000038147</v>
      </c>
      <c r="BB141">
        <f t="shared" si="13"/>
        <v>102.239616394</v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13.69999980927</v>
      </c>
      <c r="L142" s="25">
        <v>102.26197814939999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13.69999980927</v>
      </c>
      <c r="BB142">
        <f t="shared" si="13"/>
        <v>102.26197814939999</v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13.80000019073</v>
      </c>
      <c r="L143" s="25">
        <v>102.4900970459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13.80000019073</v>
      </c>
      <c r="BB143">
        <f t="shared" si="13"/>
        <v>102.4900970459</v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13.89999961853</v>
      </c>
      <c r="L144" s="25">
        <v>102.2093582153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13.89999961853</v>
      </c>
      <c r="BB144">
        <f t="shared" si="13"/>
        <v>102.2093582153</v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14</v>
      </c>
      <c r="L145" s="25">
        <v>102.3611755371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14</v>
      </c>
      <c r="BB145">
        <f t="shared" si="13"/>
        <v>102.3611755371</v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14.10000038147</v>
      </c>
      <c r="L146" s="25">
        <v>102.3398590088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14.10000038147</v>
      </c>
      <c r="BB146">
        <f t="shared" si="13"/>
        <v>102.3398590088</v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14.19999980927</v>
      </c>
      <c r="L147" s="25">
        <v>102.0454406738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14.19999980927</v>
      </c>
      <c r="BB147">
        <f t="shared" si="13"/>
        <v>102.0454406738</v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14.30000019073</v>
      </c>
      <c r="L148" s="25">
        <v>102.24198150629999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14.30000019073</v>
      </c>
      <c r="BB148">
        <f t="shared" si="13"/>
        <v>102.24198150629999</v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14.39999961853</v>
      </c>
      <c r="L149" s="25">
        <v>102.24435424799999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14.39999961853</v>
      </c>
      <c r="BB149">
        <f t="shared" ref="BB149:BD212" si="15">IF((L149)&lt;&gt;0,(L149),"")</f>
        <v>102.24435424799999</v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14.5</v>
      </c>
      <c r="L150" s="25">
        <v>102.2214584351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14.5</v>
      </c>
      <c r="BB150">
        <f t="shared" si="15"/>
        <v>102.2214584351</v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14.60000038147</v>
      </c>
      <c r="L151" s="25">
        <v>102.2009353638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14.60000038147</v>
      </c>
      <c r="BB151">
        <f t="shared" si="15"/>
        <v>102.2009353638</v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14.69999980927</v>
      </c>
      <c r="L152" s="25">
        <v>102.29302978520001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14.69999980927</v>
      </c>
      <c r="BB152">
        <f t="shared" si="15"/>
        <v>102.29302978520001</v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14.80000019073</v>
      </c>
      <c r="L153" s="25">
        <v>102.23514556879999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14.80000019073</v>
      </c>
      <c r="BB153">
        <f t="shared" si="15"/>
        <v>102.23514556879999</v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14.89999961853</v>
      </c>
      <c r="L154" s="25">
        <v>102.27671813960001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14.89999961853</v>
      </c>
      <c r="BB154">
        <f t="shared" si="15"/>
        <v>102.27671813960001</v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15</v>
      </c>
      <c r="L155" s="25">
        <v>102.30355072019999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15</v>
      </c>
      <c r="BB155">
        <f t="shared" si="15"/>
        <v>102.30355072019999</v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15.10000038147</v>
      </c>
      <c r="L156" s="25">
        <v>102.46667480470001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15.10000038147</v>
      </c>
      <c r="BB156">
        <f t="shared" si="15"/>
        <v>102.46667480470001</v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15.19999980927</v>
      </c>
      <c r="L157" s="25">
        <v>102.4424743652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15.19999980927</v>
      </c>
      <c r="BB157">
        <f t="shared" si="15"/>
        <v>102.4424743652</v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15.30000019073</v>
      </c>
      <c r="L158" s="25">
        <v>102.2277832031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15.30000019073</v>
      </c>
      <c r="BB158">
        <f t="shared" si="15"/>
        <v>102.2277832031</v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15.39999961853</v>
      </c>
      <c r="L159" s="25">
        <v>102.3393325806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15.39999961853</v>
      </c>
      <c r="BB159">
        <f t="shared" si="15"/>
        <v>102.3393325806</v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15.5</v>
      </c>
      <c r="L160" s="25">
        <v>102.4019546509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15.5</v>
      </c>
      <c r="BB160">
        <f t="shared" si="15"/>
        <v>102.4019546509</v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15.60000038147</v>
      </c>
      <c r="L161" s="25">
        <v>102.2593536377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15.60000038147</v>
      </c>
      <c r="BB161">
        <f t="shared" si="15"/>
        <v>102.2593536377</v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15.69999980927</v>
      </c>
      <c r="L162" s="25">
        <v>102.3188095093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15.69999980927</v>
      </c>
      <c r="BB162">
        <f t="shared" si="15"/>
        <v>102.3188095093</v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15.80000019073</v>
      </c>
      <c r="L163" s="25">
        <v>102.39432525629999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15.80000019073</v>
      </c>
      <c r="BB163">
        <f t="shared" si="15"/>
        <v>102.39432525629999</v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15.89999961853</v>
      </c>
      <c r="L164" s="25">
        <v>102.4216918945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15.89999961853</v>
      </c>
      <c r="BB164">
        <f t="shared" si="15"/>
        <v>102.4216918945</v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16</v>
      </c>
      <c r="L165" s="25">
        <v>102.2896118164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16</v>
      </c>
      <c r="BB165">
        <f t="shared" si="15"/>
        <v>102.2896118164</v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16.10000038147</v>
      </c>
      <c r="L166" s="25">
        <v>102.36511993409999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16.10000038147</v>
      </c>
      <c r="BB166">
        <f t="shared" si="15"/>
        <v>102.36511993409999</v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16.20000076294</v>
      </c>
      <c r="L167" s="25">
        <v>102.49798583979999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16.20000076294</v>
      </c>
      <c r="BB167">
        <f t="shared" si="15"/>
        <v>102.49798583979999</v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16.29999923706</v>
      </c>
      <c r="L168" s="25">
        <v>102.4940414429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16.29999923706</v>
      </c>
      <c r="BB168">
        <f t="shared" si="15"/>
        <v>102.4940414429</v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16.39999961853</v>
      </c>
      <c r="L169" s="25">
        <v>102.3435516357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16.39999961853</v>
      </c>
      <c r="BB169">
        <f t="shared" si="15"/>
        <v>102.3435516357</v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16.5</v>
      </c>
      <c r="L170" s="25">
        <v>102.3093414307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16.5</v>
      </c>
      <c r="BB170">
        <f t="shared" si="15"/>
        <v>102.3093414307</v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16.60000038147</v>
      </c>
      <c r="L171" s="25">
        <v>102.4203796387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16.60000038147</v>
      </c>
      <c r="BB171">
        <f t="shared" si="15"/>
        <v>102.4203796387</v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16.70000076294</v>
      </c>
      <c r="L172" s="25">
        <v>102.1572723389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16.70000076294</v>
      </c>
      <c r="BB172">
        <f t="shared" si="15"/>
        <v>102.1572723389</v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16.79999923706</v>
      </c>
      <c r="L173" s="25">
        <v>102.2740859985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16.79999923706</v>
      </c>
      <c r="BB173">
        <f t="shared" si="15"/>
        <v>102.2740859985</v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16.89999961853</v>
      </c>
      <c r="L174" s="25">
        <v>102.32512664790001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16.89999961853</v>
      </c>
      <c r="BB174">
        <f t="shared" si="15"/>
        <v>102.32512664790001</v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17</v>
      </c>
      <c r="L175" s="25">
        <v>102.3580169678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17</v>
      </c>
      <c r="BB175">
        <f t="shared" si="15"/>
        <v>102.3580169678</v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17.10000038147</v>
      </c>
      <c r="L176" s="25">
        <v>102.3214416504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17.10000038147</v>
      </c>
      <c r="BB176">
        <f t="shared" si="15"/>
        <v>102.3214416504</v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17.20000076294</v>
      </c>
      <c r="L177" s="25">
        <v>102.34618377690001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17.20000076294</v>
      </c>
      <c r="BB177">
        <f t="shared" si="15"/>
        <v>102.34618377690001</v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17.29999923706</v>
      </c>
      <c r="L178" s="25">
        <v>102.43353271479999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17.29999923706</v>
      </c>
      <c r="BB178">
        <f t="shared" si="15"/>
        <v>102.43353271479999</v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17.39999961853</v>
      </c>
      <c r="L179" s="25">
        <v>102.3703842163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17.39999961853</v>
      </c>
      <c r="BB179">
        <f t="shared" si="15"/>
        <v>102.3703842163</v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17.5</v>
      </c>
      <c r="L180" s="25">
        <v>102.2625045776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17.5</v>
      </c>
      <c r="BB180">
        <f t="shared" si="15"/>
        <v>102.2625045776</v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17.60000038147</v>
      </c>
      <c r="L181" s="25">
        <v>102.2904052734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17.60000038147</v>
      </c>
      <c r="BB181">
        <f t="shared" si="15"/>
        <v>102.2904052734</v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17.70000076294</v>
      </c>
      <c r="L182" s="25">
        <v>102.22672271730001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17.70000076294</v>
      </c>
      <c r="BB182">
        <f t="shared" si="15"/>
        <v>102.22672271730001</v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17.79999923706</v>
      </c>
      <c r="L183" s="25">
        <v>102.2753982544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17.79999923706</v>
      </c>
      <c r="BB183">
        <f t="shared" si="15"/>
        <v>102.2753982544</v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17.89999961853</v>
      </c>
      <c r="L184" s="25">
        <v>102.100692749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17.89999961853</v>
      </c>
      <c r="BB184">
        <f t="shared" si="15"/>
        <v>102.100692749</v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18</v>
      </c>
      <c r="L185" s="25">
        <v>102.1064834595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18</v>
      </c>
      <c r="BB185">
        <f t="shared" si="15"/>
        <v>102.1064834595</v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18.10000038147</v>
      </c>
      <c r="L186" s="25">
        <v>102.1325302124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18.10000038147</v>
      </c>
      <c r="BB186">
        <f t="shared" si="15"/>
        <v>102.1325302124</v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18.20000076294</v>
      </c>
      <c r="L187" s="25">
        <v>102.26513671879999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18.20000076294</v>
      </c>
      <c r="BB187">
        <f t="shared" si="15"/>
        <v>102.26513671879999</v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18.29999923706</v>
      </c>
      <c r="L188" s="25">
        <v>102.2561950684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18.29999923706</v>
      </c>
      <c r="BB188">
        <f t="shared" si="15"/>
        <v>102.2561950684</v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18.39999961853</v>
      </c>
      <c r="L189" s="25">
        <v>102.2135772705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18.39999961853</v>
      </c>
      <c r="BB189">
        <f t="shared" si="15"/>
        <v>102.2135772705</v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18.5</v>
      </c>
      <c r="L190" s="25">
        <v>102.30065917970001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18.5</v>
      </c>
      <c r="BB190">
        <f t="shared" si="15"/>
        <v>102.30065917970001</v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18.60000038147</v>
      </c>
      <c r="L191" s="25">
        <v>102.1588439941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18.60000038147</v>
      </c>
      <c r="BB191">
        <f t="shared" si="15"/>
        <v>102.1588439941</v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18.70000076294</v>
      </c>
      <c r="L192" s="25">
        <v>102.0720214844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18.70000076294</v>
      </c>
      <c r="BB192">
        <f t="shared" si="15"/>
        <v>102.0720214844</v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18.79999923706</v>
      </c>
      <c r="L193" s="25">
        <v>102.31224060060001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18.79999923706</v>
      </c>
      <c r="BB193">
        <f t="shared" si="15"/>
        <v>102.31224060060001</v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18.89999961853</v>
      </c>
      <c r="L194" s="25">
        <v>102.2359390259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18.89999961853</v>
      </c>
      <c r="BB194">
        <f t="shared" si="15"/>
        <v>102.2359390259</v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19</v>
      </c>
      <c r="L195" s="25">
        <v>102.0314941406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19</v>
      </c>
      <c r="BB195">
        <f t="shared" si="15"/>
        <v>102.0314941406</v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19.10000038147</v>
      </c>
      <c r="L196" s="25">
        <v>101.88442230219999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19.10000038147</v>
      </c>
      <c r="BB196">
        <f t="shared" si="15"/>
        <v>101.88442230219999</v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19.20000076294</v>
      </c>
      <c r="L197" s="25">
        <v>102.0065002441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19.20000076294</v>
      </c>
      <c r="BB197">
        <f t="shared" si="15"/>
        <v>102.0065002441</v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19.29999923706</v>
      </c>
      <c r="L198" s="25">
        <v>101.8170623779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19.29999923706</v>
      </c>
      <c r="BB198">
        <f t="shared" si="15"/>
        <v>101.8170623779</v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19.39999961853</v>
      </c>
      <c r="L199" s="25">
        <v>101.8681182861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19.39999961853</v>
      </c>
      <c r="BB199">
        <f t="shared" si="15"/>
        <v>101.8681182861</v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19.5</v>
      </c>
      <c r="L200" s="25">
        <v>101.94230651860001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19.5</v>
      </c>
      <c r="BB200">
        <f t="shared" si="15"/>
        <v>101.94230651860001</v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19.60000038147</v>
      </c>
      <c r="L201" s="25">
        <v>102.0141296387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19.60000038147</v>
      </c>
      <c r="BB201">
        <f t="shared" si="15"/>
        <v>102.0141296387</v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19.70000076294</v>
      </c>
      <c r="L202" s="25">
        <v>101.95282745359999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19.70000076294</v>
      </c>
      <c r="BB202">
        <f t="shared" si="15"/>
        <v>101.95282745359999</v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19.79999923706</v>
      </c>
      <c r="L203" s="25">
        <v>101.7673416138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19.79999923706</v>
      </c>
      <c r="BB203">
        <f t="shared" si="15"/>
        <v>101.7673416138</v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19.89999961853</v>
      </c>
      <c r="L204" s="25">
        <v>101.88442230219999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19.89999961853</v>
      </c>
      <c r="BB204">
        <f t="shared" si="15"/>
        <v>101.88442230219999</v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20</v>
      </c>
      <c r="L205" s="25">
        <v>101.87599945069999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20</v>
      </c>
      <c r="BB205">
        <f t="shared" si="15"/>
        <v>101.87599945069999</v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20.10000038147</v>
      </c>
      <c r="L206" s="25">
        <v>101.77839660639999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20.10000038147</v>
      </c>
      <c r="BB206">
        <f t="shared" si="15"/>
        <v>101.77839660639999</v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20.20000076294</v>
      </c>
      <c r="L207" s="25">
        <v>101.694984436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20.20000076294</v>
      </c>
      <c r="BB207">
        <f t="shared" si="15"/>
        <v>101.694984436</v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20.29999923706</v>
      </c>
      <c r="L208" s="25">
        <v>101.67077636720001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20.29999923706</v>
      </c>
      <c r="BB208">
        <f t="shared" si="15"/>
        <v>101.67077636720001</v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20.39999961853</v>
      </c>
      <c r="L209" s="25">
        <v>101.62605285639999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20.39999961853</v>
      </c>
      <c r="BB209">
        <f t="shared" si="15"/>
        <v>101.62605285639999</v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20.5</v>
      </c>
      <c r="L210" s="25">
        <v>101.48606872560001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20.5</v>
      </c>
      <c r="BB210">
        <f t="shared" si="15"/>
        <v>101.48606872560001</v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20.60000038147</v>
      </c>
      <c r="L211" s="25">
        <v>101.44871521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20.60000038147</v>
      </c>
      <c r="BB211">
        <f t="shared" si="15"/>
        <v>101.44871521</v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20.70000076294</v>
      </c>
      <c r="L212" s="25">
        <v>101.5750045776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20.70000076294</v>
      </c>
      <c r="BB212">
        <f t="shared" si="15"/>
        <v>101.5750045776</v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20.79999923706</v>
      </c>
      <c r="L213" s="25">
        <v>101.583694458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20.79999923706</v>
      </c>
      <c r="BB213">
        <f t="shared" ref="BB213:BJ276" si="21">IF((L213)&lt;&gt;0,(L213),"")</f>
        <v>101.583694458</v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20.89999961853</v>
      </c>
      <c r="L214" s="25">
        <v>101.4834518433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20.89999961853</v>
      </c>
      <c r="BB214">
        <f t="shared" si="21"/>
        <v>101.4834518433</v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21</v>
      </c>
      <c r="L215" s="25">
        <v>101.42004394529999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21</v>
      </c>
      <c r="BB215">
        <f t="shared" si="21"/>
        <v>101.42004394529999</v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21.10000038147</v>
      </c>
      <c r="L216" s="25">
        <v>101.5802688599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21.10000038147</v>
      </c>
      <c r="BB216">
        <f t="shared" si="21"/>
        <v>101.5802688599</v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21.20000076294</v>
      </c>
      <c r="L217" s="25">
        <v>101.3910980225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21.20000076294</v>
      </c>
      <c r="BB217">
        <f t="shared" si="21"/>
        <v>101.3910980225</v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21.29999923706</v>
      </c>
      <c r="L218" s="25">
        <v>101.3916168213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21.29999923706</v>
      </c>
      <c r="BB218">
        <f t="shared" si="21"/>
        <v>101.3916168213</v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21.39999961853</v>
      </c>
      <c r="L219" s="25">
        <v>101.3158416748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21.39999961853</v>
      </c>
      <c r="BB219">
        <f t="shared" si="21"/>
        <v>101.3158416748</v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21.5</v>
      </c>
      <c r="L220" s="25">
        <v>101.3271636963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21.5</v>
      </c>
      <c r="BB220">
        <f t="shared" si="21"/>
        <v>101.3271636963</v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21.60000038147</v>
      </c>
      <c r="L221" s="25">
        <v>101.2079696655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21.60000038147</v>
      </c>
      <c r="BB221">
        <f t="shared" si="21"/>
        <v>101.2079696655</v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21.70000076294</v>
      </c>
      <c r="L222" s="25">
        <v>101.1298294067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21.70000076294</v>
      </c>
      <c r="BB222">
        <f t="shared" si="21"/>
        <v>101.1298294067</v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21.79999923706</v>
      </c>
      <c r="L223" s="25">
        <v>101.0858917236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21.79999923706</v>
      </c>
      <c r="BB223">
        <f t="shared" si="21"/>
        <v>101.0858917236</v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21.89999961853</v>
      </c>
      <c r="L224" s="25">
        <v>101.17561340330001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21.89999961853</v>
      </c>
      <c r="BB224">
        <f t="shared" si="21"/>
        <v>101.17561340330001</v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22</v>
      </c>
      <c r="L225" s="25">
        <v>101.1298294067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22</v>
      </c>
      <c r="BB225">
        <f t="shared" si="21"/>
        <v>101.1298294067</v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22.10000038147</v>
      </c>
      <c r="L226" s="25">
        <v>100.9730148315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22.10000038147</v>
      </c>
      <c r="BB226">
        <f t="shared" si="21"/>
        <v>100.9730148315</v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22.20000076294</v>
      </c>
      <c r="L227" s="25">
        <v>101.0337905884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22.20000076294</v>
      </c>
      <c r="BB227">
        <f t="shared" si="21"/>
        <v>101.0337905884</v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22.29999923706</v>
      </c>
      <c r="L228" s="25">
        <v>101.1650848389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22.29999923706</v>
      </c>
      <c r="BB228">
        <f t="shared" si="21"/>
        <v>101.1650848389</v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22.39999961853</v>
      </c>
      <c r="L229" s="25">
        <v>100.89776611329999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22.39999961853</v>
      </c>
      <c r="BB229">
        <f t="shared" si="21"/>
        <v>100.89776611329999</v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22.5</v>
      </c>
      <c r="L230" s="25">
        <v>100.9716949463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22.5</v>
      </c>
      <c r="BB230">
        <f t="shared" si="21"/>
        <v>100.9716949463</v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22.60000038147</v>
      </c>
      <c r="L231" s="25">
        <v>100.9822235107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22.60000038147</v>
      </c>
      <c r="BB231">
        <f t="shared" si="21"/>
        <v>100.9822235107</v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22.70000076294</v>
      </c>
      <c r="L232" s="25">
        <v>100.90803527830001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22.70000076294</v>
      </c>
      <c r="BB232">
        <f t="shared" si="21"/>
        <v>100.90803527830001</v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22.79999923706</v>
      </c>
      <c r="L233" s="25">
        <v>100.6638641357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22.79999923706</v>
      </c>
      <c r="BB233">
        <f t="shared" si="21"/>
        <v>100.6638641357</v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22.89999961853</v>
      </c>
      <c r="L234" s="25">
        <v>100.7404251099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22.89999961853</v>
      </c>
      <c r="BB234">
        <f t="shared" si="21"/>
        <v>100.7404251099</v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23</v>
      </c>
      <c r="L235" s="25">
        <v>100.7720031738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23</v>
      </c>
      <c r="BB235">
        <f t="shared" si="21"/>
        <v>100.7720031738</v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23.10000038147</v>
      </c>
      <c r="L236" s="25">
        <v>100.623336792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23.10000038147</v>
      </c>
      <c r="BB236">
        <f t="shared" si="21"/>
        <v>100.623336792</v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23.20000076294</v>
      </c>
      <c r="L237" s="25">
        <v>100.5849304199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23.20000076294</v>
      </c>
      <c r="BB237">
        <f t="shared" si="21"/>
        <v>100.5849304199</v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23.29999923706</v>
      </c>
      <c r="L238" s="25">
        <v>100.54177856450001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23.29999923706</v>
      </c>
      <c r="BB238">
        <f t="shared" si="21"/>
        <v>100.54177856450001</v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23.39999961853</v>
      </c>
      <c r="L239" s="25">
        <v>100.4591674805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23.39999961853</v>
      </c>
      <c r="BB239">
        <f t="shared" si="21"/>
        <v>100.4591674805</v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23.5</v>
      </c>
      <c r="L240" s="25">
        <v>100.58020019529999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23.5</v>
      </c>
      <c r="BB240">
        <f t="shared" si="21"/>
        <v>100.58020019529999</v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23.60000038147</v>
      </c>
      <c r="L241" s="25">
        <v>100.45337677000001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23.60000038147</v>
      </c>
      <c r="BB241">
        <f t="shared" si="21"/>
        <v>100.45337677000001</v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23.70000076294</v>
      </c>
      <c r="L242" s="25">
        <v>100.49099731450001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23.70000076294</v>
      </c>
      <c r="BB242">
        <f t="shared" si="21"/>
        <v>100.49099731450001</v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23.79999923706</v>
      </c>
      <c r="L243" s="25">
        <v>100.44548034669999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23.79999923706</v>
      </c>
      <c r="BB243">
        <f t="shared" si="21"/>
        <v>100.44548034669999</v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23.89999961853</v>
      </c>
      <c r="L244" s="25">
        <v>100.3207702637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23.89999961853</v>
      </c>
      <c r="BB244">
        <f t="shared" si="21"/>
        <v>100.3207702637</v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24</v>
      </c>
      <c r="L245" s="25">
        <v>100.1692199707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24</v>
      </c>
      <c r="BB245">
        <f t="shared" si="21"/>
        <v>100.1692199707</v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24.10000038147</v>
      </c>
      <c r="L246" s="25">
        <v>100.2915649414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24.10000038147</v>
      </c>
      <c r="BB246">
        <f t="shared" si="21"/>
        <v>100.2915649414</v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24.20000076294</v>
      </c>
      <c r="L247" s="25">
        <v>100.2631454468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24.20000076294</v>
      </c>
      <c r="BB247">
        <f t="shared" si="21"/>
        <v>100.2631454468</v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24.29999923706</v>
      </c>
      <c r="L248" s="25">
        <v>100.0823974609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24.29999923706</v>
      </c>
      <c r="BB248">
        <f t="shared" si="21"/>
        <v>100.0823974609</v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24.39999961853</v>
      </c>
      <c r="L249" s="25">
        <v>100.0860748291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24.39999961853</v>
      </c>
      <c r="BB249">
        <f t="shared" si="21"/>
        <v>100.0860748291</v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24.5</v>
      </c>
      <c r="L250" s="25">
        <v>100.1089630127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24.5</v>
      </c>
      <c r="BB250">
        <f t="shared" si="21"/>
        <v>100.1089630127</v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24.60000038147</v>
      </c>
      <c r="L251" s="25">
        <v>100.02188110349999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24.60000038147</v>
      </c>
      <c r="BB251">
        <f t="shared" si="21"/>
        <v>100.02188110349999</v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0</v>
      </c>
      <c r="L252" s="25">
        <v>0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 t="str">
        <f t="shared" si="20"/>
        <v/>
      </c>
      <c r="BB252" t="str">
        <f t="shared" si="21"/>
        <v/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0</v>
      </c>
      <c r="L253" s="25">
        <v>0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 t="str">
        <f t="shared" si="20"/>
        <v/>
      </c>
      <c r="BB253" t="str">
        <f t="shared" si="21"/>
        <v/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0</v>
      </c>
      <c r="L254" s="25">
        <v>0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 t="str">
        <f t="shared" si="20"/>
        <v/>
      </c>
      <c r="BB254" t="str">
        <f t="shared" si="21"/>
        <v/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0</v>
      </c>
      <c r="L255" s="25">
        <v>0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 t="str">
        <f t="shared" si="20"/>
        <v/>
      </c>
      <c r="BB255" t="str">
        <f t="shared" si="21"/>
        <v/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0</v>
      </c>
      <c r="L256" s="25">
        <v>0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 t="str">
        <f t="shared" si="20"/>
        <v/>
      </c>
      <c r="BB256" t="str">
        <f t="shared" si="21"/>
        <v/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0</v>
      </c>
      <c r="L257" s="25">
        <v>0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 t="str">
        <f t="shared" si="20"/>
        <v/>
      </c>
      <c r="BB257" t="str">
        <f t="shared" si="21"/>
        <v/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0</v>
      </c>
      <c r="L258" s="25">
        <v>0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 t="str">
        <f t="shared" si="20"/>
        <v/>
      </c>
      <c r="BB258" t="str">
        <f t="shared" si="21"/>
        <v/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0</v>
      </c>
      <c r="L259" s="25">
        <v>0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 t="str">
        <f t="shared" si="20"/>
        <v/>
      </c>
      <c r="BB259" t="str">
        <f t="shared" si="21"/>
        <v/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0</v>
      </c>
      <c r="L260" s="25">
        <v>0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 t="str">
        <f t="shared" si="20"/>
        <v/>
      </c>
      <c r="BB260" t="str">
        <f t="shared" si="21"/>
        <v/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0</v>
      </c>
      <c r="L261" s="25">
        <v>0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 t="str">
        <f t="shared" si="20"/>
        <v/>
      </c>
      <c r="BB261" t="str">
        <f t="shared" si="21"/>
        <v/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0</v>
      </c>
      <c r="L262" s="25">
        <v>0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 t="str">
        <f t="shared" si="20"/>
        <v/>
      </c>
      <c r="BB262" t="str">
        <f t="shared" si="21"/>
        <v/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0</v>
      </c>
      <c r="L263" s="25">
        <v>0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 t="str">
        <f t="shared" si="20"/>
        <v/>
      </c>
      <c r="BB263" t="str">
        <f t="shared" si="21"/>
        <v/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0</v>
      </c>
      <c r="L264" s="25">
        <v>0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 t="str">
        <f t="shared" si="20"/>
        <v/>
      </c>
      <c r="BB264" t="str">
        <f t="shared" si="21"/>
        <v/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0</v>
      </c>
      <c r="L265" s="25">
        <v>0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 t="str">
        <f t="shared" si="20"/>
        <v/>
      </c>
      <c r="BB265" t="str">
        <f t="shared" si="21"/>
        <v/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0</v>
      </c>
      <c r="L266" s="25">
        <v>0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 t="str">
        <f t="shared" si="20"/>
        <v/>
      </c>
      <c r="BB266" t="str">
        <f t="shared" si="21"/>
        <v/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0</v>
      </c>
      <c r="L267" s="25">
        <v>0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 t="str">
        <f t="shared" si="20"/>
        <v/>
      </c>
      <c r="BB267" t="str">
        <f t="shared" si="21"/>
        <v/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0</v>
      </c>
      <c r="L268" s="25">
        <v>0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 t="str">
        <f t="shared" si="20"/>
        <v/>
      </c>
      <c r="BB268" t="str">
        <f t="shared" si="21"/>
        <v/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0</v>
      </c>
      <c r="L269" s="25">
        <v>0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 t="str">
        <f t="shared" si="20"/>
        <v/>
      </c>
      <c r="BB269" t="str">
        <f t="shared" si="21"/>
        <v/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0</v>
      </c>
      <c r="L270" s="25">
        <v>0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 t="str">
        <f t="shared" si="20"/>
        <v/>
      </c>
      <c r="BB270" t="str">
        <f t="shared" si="21"/>
        <v/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0</v>
      </c>
      <c r="L271" s="25">
        <v>0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 t="str">
        <f t="shared" si="20"/>
        <v/>
      </c>
      <c r="BB271" t="str">
        <f t="shared" si="21"/>
        <v/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0</v>
      </c>
      <c r="L272" s="25">
        <v>0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 t="str">
        <f t="shared" si="20"/>
        <v/>
      </c>
      <c r="BB272" t="str">
        <f t="shared" si="21"/>
        <v/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0</v>
      </c>
      <c r="L273" s="25">
        <v>0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 t="str">
        <f t="shared" si="20"/>
        <v/>
      </c>
      <c r="BB273" t="str">
        <f t="shared" si="21"/>
        <v/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0</v>
      </c>
      <c r="L274" s="25">
        <v>0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 t="str">
        <f t="shared" si="20"/>
        <v/>
      </c>
      <c r="BB274" t="str">
        <f t="shared" si="21"/>
        <v/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0</v>
      </c>
      <c r="L275" s="25">
        <v>0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 t="str">
        <f t="shared" si="20"/>
        <v/>
      </c>
      <c r="BB275" t="str">
        <f t="shared" si="21"/>
        <v/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0</v>
      </c>
      <c r="L276" s="25">
        <v>0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 t="str">
        <f t="shared" si="20"/>
        <v/>
      </c>
      <c r="BB276" t="str">
        <f t="shared" si="21"/>
        <v/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0</v>
      </c>
      <c r="L277" s="25">
        <v>0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 t="str">
        <f t="shared" ref="BA277:BA340" si="22">IF((K277)&lt;&gt;0,(K277),"")</f>
        <v/>
      </c>
      <c r="BB277" t="str">
        <f t="shared" ref="BB277:BD340" si="23">IF((L277)&lt;&gt;0,(L277),"")</f>
        <v/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0</v>
      </c>
      <c r="L278" s="25">
        <v>0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 t="str">
        <f t="shared" si="22"/>
        <v/>
      </c>
      <c r="BB278" t="str">
        <f t="shared" si="23"/>
        <v/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0</v>
      </c>
      <c r="L279" s="25">
        <v>0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 t="str">
        <f t="shared" si="22"/>
        <v/>
      </c>
      <c r="BB279" t="str">
        <f t="shared" si="23"/>
        <v/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0</v>
      </c>
      <c r="L280" s="25">
        <v>0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 t="str">
        <f t="shared" si="22"/>
        <v/>
      </c>
      <c r="BB280" t="str">
        <f t="shared" si="23"/>
        <v/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0</v>
      </c>
      <c r="L281" s="25">
        <v>0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 t="str">
        <f t="shared" si="22"/>
        <v/>
      </c>
      <c r="BB281" t="str">
        <f t="shared" si="23"/>
        <v/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0</v>
      </c>
      <c r="L282" s="25">
        <v>0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 t="str">
        <f t="shared" si="22"/>
        <v/>
      </c>
      <c r="BB282" t="str">
        <f t="shared" si="23"/>
        <v/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0</v>
      </c>
      <c r="L283" s="25">
        <v>0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 t="str">
        <f t="shared" si="22"/>
        <v/>
      </c>
      <c r="BB283" t="str">
        <f t="shared" si="23"/>
        <v/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0</v>
      </c>
      <c r="L284" s="25">
        <v>0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 t="str">
        <f t="shared" si="22"/>
        <v/>
      </c>
      <c r="BB284" t="str">
        <f t="shared" si="23"/>
        <v/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0</v>
      </c>
      <c r="L285" s="25">
        <v>0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 t="str">
        <f t="shared" si="22"/>
        <v/>
      </c>
      <c r="BB285" t="str">
        <f t="shared" si="23"/>
        <v/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0</v>
      </c>
      <c r="L286" s="25">
        <v>0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 t="str">
        <f t="shared" si="22"/>
        <v/>
      </c>
      <c r="BB286" t="str">
        <f t="shared" si="23"/>
        <v/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0</v>
      </c>
      <c r="L287" s="25">
        <v>0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 t="str">
        <f t="shared" si="22"/>
        <v/>
      </c>
      <c r="BB287" t="str">
        <f t="shared" si="23"/>
        <v/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0</v>
      </c>
      <c r="L288" s="25">
        <v>0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 t="str">
        <f t="shared" si="22"/>
        <v/>
      </c>
      <c r="BB288" t="str">
        <f t="shared" si="23"/>
        <v/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0</v>
      </c>
      <c r="L289" s="25">
        <v>0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 t="str">
        <f t="shared" si="22"/>
        <v/>
      </c>
      <c r="BB289" t="str">
        <f t="shared" si="23"/>
        <v/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0</v>
      </c>
      <c r="L290" s="25">
        <v>0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 t="str">
        <f t="shared" si="22"/>
        <v/>
      </c>
      <c r="BB290" t="str">
        <f t="shared" si="23"/>
        <v/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0</v>
      </c>
      <c r="L291" s="25">
        <v>0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 t="str">
        <f t="shared" si="22"/>
        <v/>
      </c>
      <c r="BB291" t="str">
        <f t="shared" si="23"/>
        <v/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0</v>
      </c>
      <c r="L292" s="25">
        <v>0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 t="str">
        <f t="shared" si="22"/>
        <v/>
      </c>
      <c r="BB292" t="str">
        <f t="shared" si="23"/>
        <v/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0</v>
      </c>
      <c r="L293" s="25">
        <v>0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 t="str">
        <f t="shared" si="22"/>
        <v/>
      </c>
      <c r="BB293" t="str">
        <f t="shared" si="23"/>
        <v/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0</v>
      </c>
      <c r="L294" s="25">
        <v>0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 t="str">
        <f t="shared" si="22"/>
        <v/>
      </c>
      <c r="BB294" t="str">
        <f t="shared" si="23"/>
        <v/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0</v>
      </c>
      <c r="L295" s="25">
        <v>0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 t="str">
        <f t="shared" si="22"/>
        <v/>
      </c>
      <c r="BB295" t="str">
        <f t="shared" si="23"/>
        <v/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0</v>
      </c>
      <c r="L296" s="25">
        <v>0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 t="str">
        <f t="shared" si="22"/>
        <v/>
      </c>
      <c r="BB296" t="str">
        <f t="shared" si="23"/>
        <v/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0</v>
      </c>
      <c r="L297" s="25">
        <v>0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 t="str">
        <f t="shared" si="22"/>
        <v/>
      </c>
      <c r="BB297" t="str">
        <f t="shared" si="23"/>
        <v/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0</v>
      </c>
      <c r="L298" s="25">
        <v>0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 t="str">
        <f t="shared" si="22"/>
        <v/>
      </c>
      <c r="BB298" t="str">
        <f t="shared" si="23"/>
        <v/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0</v>
      </c>
      <c r="L299" s="25">
        <v>0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 t="str">
        <f t="shared" si="22"/>
        <v/>
      </c>
      <c r="BB299" t="str">
        <f t="shared" si="23"/>
        <v/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0</v>
      </c>
      <c r="L300" s="25">
        <v>0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 t="str">
        <f t="shared" si="22"/>
        <v/>
      </c>
      <c r="BB300" t="str">
        <f t="shared" si="23"/>
        <v/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0</v>
      </c>
      <c r="L301" s="25">
        <v>0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 t="str">
        <f t="shared" si="22"/>
        <v/>
      </c>
      <c r="BB301" t="str">
        <f t="shared" si="23"/>
        <v/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0</v>
      </c>
      <c r="L302" s="25">
        <v>0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 t="str">
        <f t="shared" si="22"/>
        <v/>
      </c>
      <c r="BB302" t="str">
        <f t="shared" si="23"/>
        <v/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0</v>
      </c>
      <c r="L303" s="25">
        <v>0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 t="str">
        <f t="shared" si="22"/>
        <v/>
      </c>
      <c r="BB303" t="str">
        <f t="shared" si="23"/>
        <v/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0</v>
      </c>
      <c r="L304" s="25">
        <v>0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 t="str">
        <f t="shared" si="22"/>
        <v/>
      </c>
      <c r="BB304" t="str">
        <f t="shared" si="23"/>
        <v/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0</v>
      </c>
      <c r="L305" s="25">
        <v>0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 t="str">
        <f t="shared" si="22"/>
        <v/>
      </c>
      <c r="BB305" t="str">
        <f t="shared" si="23"/>
        <v/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0</v>
      </c>
      <c r="L306" s="25">
        <v>0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 t="str">
        <f t="shared" si="22"/>
        <v/>
      </c>
      <c r="BB306" t="str">
        <f t="shared" si="23"/>
        <v/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0</v>
      </c>
      <c r="L307" s="25">
        <v>0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 t="str">
        <f t="shared" si="22"/>
        <v/>
      </c>
      <c r="BB307" t="str">
        <f t="shared" si="23"/>
        <v/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0</v>
      </c>
      <c r="L308" s="25">
        <v>0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 t="str">
        <f t="shared" si="22"/>
        <v/>
      </c>
      <c r="BB308" t="str">
        <f t="shared" si="23"/>
        <v/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0</v>
      </c>
      <c r="L309" s="25">
        <v>0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 t="str">
        <f t="shared" si="22"/>
        <v/>
      </c>
      <c r="BB309" t="str">
        <f t="shared" si="23"/>
        <v/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0</v>
      </c>
      <c r="L310" s="25">
        <v>0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 t="str">
        <f t="shared" si="22"/>
        <v/>
      </c>
      <c r="BB310" t="str">
        <f t="shared" si="23"/>
        <v/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0</v>
      </c>
      <c r="L311" s="25">
        <v>0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 t="str">
        <f t="shared" si="22"/>
        <v/>
      </c>
      <c r="BB311" t="str">
        <f t="shared" si="23"/>
        <v/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0</v>
      </c>
      <c r="L312" s="25">
        <v>0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 t="str">
        <f t="shared" si="22"/>
        <v/>
      </c>
      <c r="BB312" t="str">
        <f t="shared" si="23"/>
        <v/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0</v>
      </c>
      <c r="L313" s="25">
        <v>0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 t="str">
        <f t="shared" si="22"/>
        <v/>
      </c>
      <c r="BB313" t="str">
        <f t="shared" si="23"/>
        <v/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0</v>
      </c>
      <c r="L314" s="25">
        <v>0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 t="str">
        <f t="shared" si="22"/>
        <v/>
      </c>
      <c r="BB314" t="str">
        <f t="shared" si="23"/>
        <v/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0</v>
      </c>
      <c r="L315" s="25">
        <v>0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 t="str">
        <f t="shared" si="22"/>
        <v/>
      </c>
      <c r="BB315" t="str">
        <f t="shared" si="23"/>
        <v/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0</v>
      </c>
      <c r="L316" s="25">
        <v>0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 t="str">
        <f t="shared" si="22"/>
        <v/>
      </c>
      <c r="BB316" t="str">
        <f t="shared" si="23"/>
        <v/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0</v>
      </c>
      <c r="L317" s="25">
        <v>0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 t="str">
        <f t="shared" si="22"/>
        <v/>
      </c>
      <c r="BB317" t="str">
        <f t="shared" si="23"/>
        <v/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0</v>
      </c>
      <c r="L318" s="25">
        <v>0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 t="str">
        <f t="shared" si="22"/>
        <v/>
      </c>
      <c r="BB318" t="str">
        <f t="shared" si="23"/>
        <v/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0</v>
      </c>
      <c r="L319" s="25">
        <v>0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 t="str">
        <f t="shared" si="22"/>
        <v/>
      </c>
      <c r="BB319" t="str">
        <f t="shared" si="23"/>
        <v/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0</v>
      </c>
      <c r="L320" s="25">
        <v>0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 t="str">
        <f t="shared" si="22"/>
        <v/>
      </c>
      <c r="BB320" t="str">
        <f t="shared" si="23"/>
        <v/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0</v>
      </c>
      <c r="L321" s="25">
        <v>0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 t="str">
        <f t="shared" si="22"/>
        <v/>
      </c>
      <c r="BB321" t="str">
        <f t="shared" si="23"/>
        <v/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0</v>
      </c>
      <c r="L322" s="25">
        <v>0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 t="str">
        <f t="shared" si="22"/>
        <v/>
      </c>
      <c r="BB322" t="str">
        <f t="shared" si="23"/>
        <v/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0</v>
      </c>
      <c r="L323" s="25">
        <v>0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 t="str">
        <f t="shared" si="22"/>
        <v/>
      </c>
      <c r="BB323" t="str">
        <f t="shared" si="23"/>
        <v/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0</v>
      </c>
      <c r="L324" s="25">
        <v>0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 t="str">
        <f t="shared" si="22"/>
        <v/>
      </c>
      <c r="BB324" t="str">
        <f t="shared" si="23"/>
        <v/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0</v>
      </c>
      <c r="L325" s="25">
        <v>0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 t="str">
        <f t="shared" si="22"/>
        <v/>
      </c>
      <c r="BB325" t="str">
        <f t="shared" si="23"/>
        <v/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0</v>
      </c>
      <c r="L326" s="25">
        <v>0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 t="str">
        <f t="shared" si="22"/>
        <v/>
      </c>
      <c r="BB326" t="str">
        <f t="shared" si="23"/>
        <v/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0</v>
      </c>
      <c r="L327" s="25">
        <v>0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 t="str">
        <f t="shared" si="22"/>
        <v/>
      </c>
      <c r="BB327" t="str">
        <f t="shared" si="23"/>
        <v/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0</v>
      </c>
      <c r="L328" s="25">
        <v>0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 t="str">
        <f t="shared" si="22"/>
        <v/>
      </c>
      <c r="BB328" t="str">
        <f t="shared" si="23"/>
        <v/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0</v>
      </c>
      <c r="L329" s="25">
        <v>0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 t="str">
        <f t="shared" si="22"/>
        <v/>
      </c>
      <c r="BB329" t="str">
        <f t="shared" si="23"/>
        <v/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0</v>
      </c>
      <c r="L330" s="25">
        <v>0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 t="str">
        <f t="shared" si="22"/>
        <v/>
      </c>
      <c r="BB330" t="str">
        <f t="shared" si="23"/>
        <v/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0</v>
      </c>
      <c r="L331" s="25">
        <v>0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 t="str">
        <f t="shared" si="22"/>
        <v/>
      </c>
      <c r="BB331" t="str">
        <f t="shared" si="23"/>
        <v/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0</v>
      </c>
      <c r="L332" s="25">
        <v>0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 t="str">
        <f t="shared" si="22"/>
        <v/>
      </c>
      <c r="BB332" t="str">
        <f t="shared" si="23"/>
        <v/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0</v>
      </c>
      <c r="L333" s="25">
        <v>0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 t="str">
        <f t="shared" si="22"/>
        <v/>
      </c>
      <c r="BB333" t="str">
        <f t="shared" si="23"/>
        <v/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0</v>
      </c>
      <c r="L334" s="25">
        <v>0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 t="str">
        <f t="shared" si="22"/>
        <v/>
      </c>
      <c r="BB334" t="str">
        <f t="shared" si="23"/>
        <v/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0</v>
      </c>
      <c r="L335" s="25">
        <v>0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 t="str">
        <f t="shared" si="22"/>
        <v/>
      </c>
      <c r="BB335" t="str">
        <f t="shared" si="23"/>
        <v/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0</v>
      </c>
      <c r="L336" s="25">
        <v>0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 t="str">
        <f t="shared" si="22"/>
        <v/>
      </c>
      <c r="BB336" t="str">
        <f t="shared" si="23"/>
        <v/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0</v>
      </c>
      <c r="L337" s="25">
        <v>0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 t="str">
        <f t="shared" si="22"/>
        <v/>
      </c>
      <c r="BB337" t="str">
        <f t="shared" si="23"/>
        <v/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0</v>
      </c>
      <c r="L338" s="25">
        <v>0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 t="str">
        <f t="shared" si="22"/>
        <v/>
      </c>
      <c r="BB338" t="str">
        <f t="shared" si="23"/>
        <v/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0</v>
      </c>
      <c r="L339" s="25">
        <v>0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 t="str">
        <f t="shared" si="22"/>
        <v/>
      </c>
      <c r="BB339" t="str">
        <f t="shared" si="23"/>
        <v/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0</v>
      </c>
      <c r="L340" s="25">
        <v>0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 t="str">
        <f t="shared" si="22"/>
        <v/>
      </c>
      <c r="BB340" t="str">
        <f t="shared" si="23"/>
        <v/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0</v>
      </c>
      <c r="L341" s="25">
        <v>0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 t="str">
        <f t="shared" ref="BA341:BA404" si="28">IF((K341)&lt;&gt;0,(K341),"")</f>
        <v/>
      </c>
      <c r="BB341" t="str">
        <f t="shared" ref="BB341:BJ404" si="29">IF((L341)&lt;&gt;0,(L341),"")</f>
        <v/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0</v>
      </c>
      <c r="L342" s="25">
        <v>0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 t="str">
        <f t="shared" si="28"/>
        <v/>
      </c>
      <c r="BB342" t="str">
        <f t="shared" si="29"/>
        <v/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0</v>
      </c>
      <c r="L343" s="25">
        <v>0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 t="str">
        <f t="shared" si="28"/>
        <v/>
      </c>
      <c r="BB343" t="str">
        <f t="shared" si="29"/>
        <v/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0</v>
      </c>
      <c r="L344" s="25">
        <v>0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 t="str">
        <f t="shared" si="28"/>
        <v/>
      </c>
      <c r="BB344" t="str">
        <f t="shared" si="29"/>
        <v/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0</v>
      </c>
      <c r="L345" s="25">
        <v>0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 t="str">
        <f t="shared" si="28"/>
        <v/>
      </c>
      <c r="BB345" t="str">
        <f t="shared" si="29"/>
        <v/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0</v>
      </c>
      <c r="L346" s="25">
        <v>0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 t="str">
        <f t="shared" si="28"/>
        <v/>
      </c>
      <c r="BB346" t="str">
        <f t="shared" si="29"/>
        <v/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0</v>
      </c>
      <c r="L347" s="25">
        <v>0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 t="str">
        <f t="shared" si="28"/>
        <v/>
      </c>
      <c r="BB347" t="str">
        <f t="shared" si="29"/>
        <v/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0</v>
      </c>
      <c r="L348" s="25">
        <v>0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 t="str">
        <f t="shared" si="28"/>
        <v/>
      </c>
      <c r="BB348" t="str">
        <f t="shared" si="29"/>
        <v/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0</v>
      </c>
      <c r="L349" s="25">
        <v>0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 t="str">
        <f t="shared" si="28"/>
        <v/>
      </c>
      <c r="BB349" t="str">
        <f t="shared" si="29"/>
        <v/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0</v>
      </c>
      <c r="L350" s="25">
        <v>0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 t="str">
        <f t="shared" si="28"/>
        <v/>
      </c>
      <c r="BB350" t="str">
        <f t="shared" si="29"/>
        <v/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0</v>
      </c>
      <c r="L351" s="25">
        <v>0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 t="str">
        <f t="shared" si="28"/>
        <v/>
      </c>
      <c r="BB351" t="str">
        <f t="shared" si="29"/>
        <v/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0</v>
      </c>
      <c r="L352" s="25">
        <v>0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 t="str">
        <f t="shared" si="28"/>
        <v/>
      </c>
      <c r="BB352" t="str">
        <f t="shared" si="29"/>
        <v/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0</v>
      </c>
      <c r="L353" s="25">
        <v>0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 t="str">
        <f t="shared" si="28"/>
        <v/>
      </c>
      <c r="BB353" t="str">
        <f t="shared" si="29"/>
        <v/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0</v>
      </c>
      <c r="L354" s="25">
        <v>0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 t="str">
        <f t="shared" si="28"/>
        <v/>
      </c>
      <c r="BB354" t="str">
        <f t="shared" si="29"/>
        <v/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0</v>
      </c>
      <c r="L355" s="25">
        <v>0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 t="str">
        <f t="shared" si="28"/>
        <v/>
      </c>
      <c r="BB355" t="str">
        <f t="shared" si="29"/>
        <v/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0</v>
      </c>
      <c r="L356" s="25">
        <v>0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 t="str">
        <f t="shared" si="28"/>
        <v/>
      </c>
      <c r="BB356" t="str">
        <f t="shared" si="29"/>
        <v/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0</v>
      </c>
      <c r="L357" s="25">
        <v>0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 t="str">
        <f t="shared" si="28"/>
        <v/>
      </c>
      <c r="BB357" t="str">
        <f t="shared" si="29"/>
        <v/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0</v>
      </c>
      <c r="L358" s="25">
        <v>0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 t="str">
        <f t="shared" si="28"/>
        <v/>
      </c>
      <c r="BB358" t="str">
        <f t="shared" si="29"/>
        <v/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0</v>
      </c>
      <c r="L359" s="25">
        <v>0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 t="str">
        <f t="shared" si="28"/>
        <v/>
      </c>
      <c r="BB359" t="str">
        <f t="shared" si="29"/>
        <v/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0</v>
      </c>
      <c r="L360" s="25">
        <v>0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 t="str">
        <f t="shared" si="28"/>
        <v/>
      </c>
      <c r="BB360" t="str">
        <f t="shared" si="29"/>
        <v/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0</v>
      </c>
      <c r="L361" s="25">
        <v>0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 t="str">
        <f t="shared" si="28"/>
        <v/>
      </c>
      <c r="BB361" t="str">
        <f t="shared" si="29"/>
        <v/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0</v>
      </c>
      <c r="L362" s="25">
        <v>0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 t="str">
        <f t="shared" si="28"/>
        <v/>
      </c>
      <c r="BB362" t="str">
        <f t="shared" si="29"/>
        <v/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0</v>
      </c>
      <c r="L363" s="25">
        <v>0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 t="str">
        <f t="shared" si="28"/>
        <v/>
      </c>
      <c r="BB363" t="str">
        <f t="shared" si="29"/>
        <v/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0</v>
      </c>
      <c r="L364" s="25">
        <v>0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 t="str">
        <f t="shared" si="28"/>
        <v/>
      </c>
      <c r="BB364" t="str">
        <f t="shared" si="29"/>
        <v/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0</v>
      </c>
      <c r="L365" s="25">
        <v>0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 t="str">
        <f t="shared" si="28"/>
        <v/>
      </c>
      <c r="BB365" t="str">
        <f t="shared" si="29"/>
        <v/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0</v>
      </c>
      <c r="L366" s="25">
        <v>0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 t="str">
        <f t="shared" si="28"/>
        <v/>
      </c>
      <c r="BB366" t="str">
        <f t="shared" si="29"/>
        <v/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0</v>
      </c>
      <c r="L367" s="25">
        <v>0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 t="str">
        <f t="shared" si="28"/>
        <v/>
      </c>
      <c r="BB367" t="str">
        <f t="shared" si="29"/>
        <v/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0</v>
      </c>
      <c r="L368" s="25">
        <v>0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 t="str">
        <f t="shared" si="28"/>
        <v/>
      </c>
      <c r="BB368" t="str">
        <f t="shared" si="29"/>
        <v/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0</v>
      </c>
      <c r="L369" s="25">
        <v>0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 t="str">
        <f t="shared" si="28"/>
        <v/>
      </c>
      <c r="BB369" t="str">
        <f t="shared" si="29"/>
        <v/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0</v>
      </c>
      <c r="L370" s="25">
        <v>0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 t="str">
        <f t="shared" si="28"/>
        <v/>
      </c>
      <c r="BB370" t="str">
        <f t="shared" si="29"/>
        <v/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0</v>
      </c>
      <c r="L371" s="25">
        <v>0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 t="str">
        <f t="shared" si="28"/>
        <v/>
      </c>
      <c r="BB371" t="str">
        <f t="shared" si="29"/>
        <v/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0</v>
      </c>
      <c r="L372" s="25">
        <v>0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 t="str">
        <f t="shared" si="28"/>
        <v/>
      </c>
      <c r="BB372" t="str">
        <f t="shared" si="29"/>
        <v/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0</v>
      </c>
      <c r="L373" s="25">
        <v>0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 t="str">
        <f t="shared" si="28"/>
        <v/>
      </c>
      <c r="BB373" t="str">
        <f t="shared" si="29"/>
        <v/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0</v>
      </c>
      <c r="L374" s="25">
        <v>0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 t="str">
        <f t="shared" si="28"/>
        <v/>
      </c>
      <c r="BB374" t="str">
        <f t="shared" si="29"/>
        <v/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0</v>
      </c>
      <c r="L375" s="25">
        <v>0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 t="str">
        <f t="shared" si="28"/>
        <v/>
      </c>
      <c r="BB375" t="str">
        <f t="shared" si="29"/>
        <v/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0</v>
      </c>
      <c r="L376" s="25">
        <v>0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 t="str">
        <f t="shared" si="28"/>
        <v/>
      </c>
      <c r="BB376" t="str">
        <f t="shared" si="29"/>
        <v/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0</v>
      </c>
      <c r="L377" s="25">
        <v>0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 t="str">
        <f t="shared" si="28"/>
        <v/>
      </c>
      <c r="BB377" t="str">
        <f t="shared" si="29"/>
        <v/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0</v>
      </c>
      <c r="L378" s="25">
        <v>0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 t="str">
        <f t="shared" si="28"/>
        <v/>
      </c>
      <c r="BB378" t="str">
        <f t="shared" si="29"/>
        <v/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0</v>
      </c>
      <c r="L379" s="25">
        <v>0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 t="str">
        <f t="shared" si="28"/>
        <v/>
      </c>
      <c r="BB379" t="str">
        <f t="shared" si="29"/>
        <v/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0</v>
      </c>
      <c r="L380" s="25">
        <v>0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 t="str">
        <f t="shared" si="28"/>
        <v/>
      </c>
      <c r="BB380" t="str">
        <f t="shared" si="29"/>
        <v/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0</v>
      </c>
      <c r="L381" s="25">
        <v>0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 t="str">
        <f t="shared" si="28"/>
        <v/>
      </c>
      <c r="BB381" t="str">
        <f t="shared" si="29"/>
        <v/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0</v>
      </c>
      <c r="L382" s="25">
        <v>0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 t="str">
        <f t="shared" si="28"/>
        <v/>
      </c>
      <c r="BB382" t="str">
        <f t="shared" si="29"/>
        <v/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0</v>
      </c>
      <c r="L383" s="25">
        <v>0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 t="str">
        <f t="shared" si="28"/>
        <v/>
      </c>
      <c r="BB383" t="str">
        <f t="shared" si="29"/>
        <v/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0</v>
      </c>
      <c r="L384" s="25">
        <v>0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 t="str">
        <f t="shared" si="28"/>
        <v/>
      </c>
      <c r="BB384" t="str">
        <f t="shared" si="29"/>
        <v/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0</v>
      </c>
      <c r="L385" s="25">
        <v>0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 t="str">
        <f t="shared" si="28"/>
        <v/>
      </c>
      <c r="BB385" t="str">
        <f t="shared" si="29"/>
        <v/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0</v>
      </c>
      <c r="L386" s="25">
        <v>0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 t="str">
        <f t="shared" si="28"/>
        <v/>
      </c>
      <c r="BB386" t="str">
        <f t="shared" si="29"/>
        <v/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0</v>
      </c>
      <c r="L387" s="25">
        <v>0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 t="str">
        <f t="shared" si="28"/>
        <v/>
      </c>
      <c r="BB387" t="str">
        <f t="shared" si="29"/>
        <v/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0</v>
      </c>
      <c r="L388" s="25">
        <v>0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 t="str">
        <f t="shared" si="28"/>
        <v/>
      </c>
      <c r="BB388" t="str">
        <f t="shared" si="29"/>
        <v/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0</v>
      </c>
      <c r="L389" s="25">
        <v>0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 t="str">
        <f t="shared" si="28"/>
        <v/>
      </c>
      <c r="BB389" t="str">
        <f t="shared" si="29"/>
        <v/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0</v>
      </c>
      <c r="L390" s="25">
        <v>0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 t="str">
        <f t="shared" si="28"/>
        <v/>
      </c>
      <c r="BB390" t="str">
        <f t="shared" si="29"/>
        <v/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0</v>
      </c>
      <c r="L391" s="25">
        <v>0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 t="str">
        <f t="shared" si="28"/>
        <v/>
      </c>
      <c r="BB391" t="str">
        <f t="shared" si="29"/>
        <v/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0</v>
      </c>
      <c r="L392" s="25">
        <v>0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 t="str">
        <f t="shared" si="28"/>
        <v/>
      </c>
      <c r="BB392" t="str">
        <f t="shared" si="29"/>
        <v/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0</v>
      </c>
      <c r="L393" s="25">
        <v>0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 t="str">
        <f t="shared" si="28"/>
        <v/>
      </c>
      <c r="BB393" t="str">
        <f t="shared" si="29"/>
        <v/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0</v>
      </c>
      <c r="L394" s="25">
        <v>0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 t="str">
        <f t="shared" si="28"/>
        <v/>
      </c>
      <c r="BB394" t="str">
        <f t="shared" si="29"/>
        <v/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0</v>
      </c>
      <c r="L395" s="25">
        <v>0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 t="str">
        <f t="shared" si="28"/>
        <v/>
      </c>
      <c r="BB395" t="str">
        <f t="shared" si="29"/>
        <v/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0</v>
      </c>
      <c r="L396" s="25">
        <v>0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 t="str">
        <f t="shared" si="28"/>
        <v/>
      </c>
      <c r="BB396" t="str">
        <f t="shared" si="29"/>
        <v/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0</v>
      </c>
      <c r="L397" s="25">
        <v>0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 t="str">
        <f t="shared" si="28"/>
        <v/>
      </c>
      <c r="BB397" t="str">
        <f t="shared" si="29"/>
        <v/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0</v>
      </c>
      <c r="L398" s="25">
        <v>0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 t="str">
        <f t="shared" si="28"/>
        <v/>
      </c>
      <c r="BB398" t="str">
        <f t="shared" si="29"/>
        <v/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0</v>
      </c>
      <c r="L399" s="25">
        <v>0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 t="str">
        <f t="shared" si="28"/>
        <v/>
      </c>
      <c r="BB399" t="str">
        <f t="shared" si="29"/>
        <v/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0</v>
      </c>
      <c r="L400" s="25">
        <v>0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 t="str">
        <f t="shared" si="28"/>
        <v/>
      </c>
      <c r="BB400" t="str">
        <f t="shared" si="29"/>
        <v/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0</v>
      </c>
      <c r="L401" s="25">
        <v>0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 t="str">
        <f t="shared" si="28"/>
        <v/>
      </c>
      <c r="BB401" t="str">
        <f t="shared" si="29"/>
        <v/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0</v>
      </c>
      <c r="L402" s="25">
        <v>0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 t="str">
        <f t="shared" si="28"/>
        <v/>
      </c>
      <c r="BB402" t="str">
        <f t="shared" si="29"/>
        <v/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0</v>
      </c>
      <c r="L403" s="25">
        <v>0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 t="str">
        <f t="shared" si="28"/>
        <v/>
      </c>
      <c r="BB403" t="str">
        <f t="shared" si="29"/>
        <v/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0</v>
      </c>
      <c r="L404" s="25">
        <v>0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 t="str">
        <f t="shared" si="28"/>
        <v/>
      </c>
      <c r="BB404" t="str">
        <f t="shared" si="29"/>
        <v/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0</v>
      </c>
      <c r="L405" s="25">
        <v>0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 t="str">
        <f t="shared" ref="BA405:BA468" si="30">IF((K405)&lt;&gt;0,(K405),"")</f>
        <v/>
      </c>
      <c r="BB405" t="str">
        <f t="shared" ref="BB405:BD468" si="31">IF((L405)&lt;&gt;0,(L405),"")</f>
        <v/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0</v>
      </c>
      <c r="L406" s="25">
        <v>0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 t="str">
        <f t="shared" si="30"/>
        <v/>
      </c>
      <c r="BB406" t="str">
        <f t="shared" si="31"/>
        <v/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0</v>
      </c>
      <c r="L407" s="25">
        <v>0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 t="str">
        <f t="shared" si="30"/>
        <v/>
      </c>
      <c r="BB407" t="str">
        <f t="shared" si="31"/>
        <v/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0</v>
      </c>
      <c r="L408" s="25">
        <v>0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 t="str">
        <f t="shared" si="30"/>
        <v/>
      </c>
      <c r="BB408" t="str">
        <f t="shared" si="31"/>
        <v/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0</v>
      </c>
      <c r="L409" s="25">
        <v>0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 t="str">
        <f t="shared" si="30"/>
        <v/>
      </c>
      <c r="BB409" t="str">
        <f t="shared" si="31"/>
        <v/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0</v>
      </c>
      <c r="L410" s="25">
        <v>0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 t="str">
        <f t="shared" si="30"/>
        <v/>
      </c>
      <c r="BB410" t="str">
        <f t="shared" si="31"/>
        <v/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0</v>
      </c>
      <c r="L411" s="25">
        <v>0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 t="str">
        <f t="shared" si="30"/>
        <v/>
      </c>
      <c r="BB411" t="str">
        <f t="shared" si="31"/>
        <v/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0</v>
      </c>
      <c r="L412" s="25">
        <v>0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 t="str">
        <f t="shared" si="30"/>
        <v/>
      </c>
      <c r="BB412" t="str">
        <f t="shared" si="31"/>
        <v/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0</v>
      </c>
      <c r="L413" s="25">
        <v>0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 t="str">
        <f t="shared" si="30"/>
        <v/>
      </c>
      <c r="BB413" t="str">
        <f t="shared" si="31"/>
        <v/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0</v>
      </c>
      <c r="L414" s="25">
        <v>0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 t="str">
        <f t="shared" si="30"/>
        <v/>
      </c>
      <c r="BB414" t="str">
        <f t="shared" si="31"/>
        <v/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0</v>
      </c>
      <c r="L415" s="25">
        <v>0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 t="str">
        <f t="shared" si="30"/>
        <v/>
      </c>
      <c r="BB415" t="str">
        <f t="shared" si="31"/>
        <v/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0</v>
      </c>
      <c r="L416" s="25">
        <v>0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 t="str">
        <f t="shared" si="30"/>
        <v/>
      </c>
      <c r="BB416" t="str">
        <f t="shared" si="31"/>
        <v/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0</v>
      </c>
      <c r="L417" s="25">
        <v>0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 t="str">
        <f t="shared" si="30"/>
        <v/>
      </c>
      <c r="BB417" t="str">
        <f t="shared" si="31"/>
        <v/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0</v>
      </c>
      <c r="L418" s="25">
        <v>0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 t="str">
        <f t="shared" si="30"/>
        <v/>
      </c>
      <c r="BB418" t="str">
        <f t="shared" si="31"/>
        <v/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0</v>
      </c>
      <c r="L419" s="25">
        <v>0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 t="str">
        <f t="shared" si="30"/>
        <v/>
      </c>
      <c r="BB419" t="str">
        <f t="shared" si="31"/>
        <v/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0</v>
      </c>
      <c r="L420" s="25">
        <v>0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 t="str">
        <f t="shared" si="30"/>
        <v/>
      </c>
      <c r="BB420" t="str">
        <f t="shared" si="31"/>
        <v/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0</v>
      </c>
      <c r="L421" s="25">
        <v>0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 t="str">
        <f t="shared" si="30"/>
        <v/>
      </c>
      <c r="BB421" t="str">
        <f t="shared" si="31"/>
        <v/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0</v>
      </c>
      <c r="L422" s="25">
        <v>0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 t="str">
        <f t="shared" si="30"/>
        <v/>
      </c>
      <c r="BB422" t="str">
        <f t="shared" si="31"/>
        <v/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0</v>
      </c>
      <c r="L423" s="25">
        <v>0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 t="str">
        <f t="shared" si="30"/>
        <v/>
      </c>
      <c r="BB423" t="str">
        <f t="shared" si="31"/>
        <v/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0</v>
      </c>
      <c r="L424" s="25">
        <v>0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 t="str">
        <f t="shared" si="30"/>
        <v/>
      </c>
      <c r="BB424" t="str">
        <f t="shared" si="31"/>
        <v/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0</v>
      </c>
      <c r="L425" s="25">
        <v>0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 t="str">
        <f t="shared" si="30"/>
        <v/>
      </c>
      <c r="BB425" t="str">
        <f t="shared" si="31"/>
        <v/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0</v>
      </c>
      <c r="L426" s="25">
        <v>0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 t="str">
        <f t="shared" si="30"/>
        <v/>
      </c>
      <c r="BB426" t="str">
        <f t="shared" si="31"/>
        <v/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0</v>
      </c>
      <c r="L427" s="25">
        <v>0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 t="str">
        <f t="shared" si="30"/>
        <v/>
      </c>
      <c r="BB427" t="str">
        <f t="shared" si="31"/>
        <v/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0</v>
      </c>
      <c r="L428" s="25">
        <v>0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 t="str">
        <f t="shared" si="30"/>
        <v/>
      </c>
      <c r="BB428" t="str">
        <f t="shared" si="31"/>
        <v/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0</v>
      </c>
      <c r="L429" s="25">
        <v>0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 t="str">
        <f t="shared" si="30"/>
        <v/>
      </c>
      <c r="BB429" t="str">
        <f t="shared" si="31"/>
        <v/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0</v>
      </c>
      <c r="L430" s="25">
        <v>0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 t="str">
        <f t="shared" si="30"/>
        <v/>
      </c>
      <c r="BB430" t="str">
        <f t="shared" si="31"/>
        <v/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0</v>
      </c>
      <c r="L431" s="25">
        <v>0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 t="str">
        <f t="shared" si="30"/>
        <v/>
      </c>
      <c r="BB431" t="str">
        <f t="shared" si="31"/>
        <v/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0</v>
      </c>
      <c r="L432" s="25">
        <v>0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 t="str">
        <f t="shared" si="30"/>
        <v/>
      </c>
      <c r="BB432" t="str">
        <f t="shared" si="31"/>
        <v/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0</v>
      </c>
      <c r="L433" s="25">
        <v>0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 t="str">
        <f t="shared" si="30"/>
        <v/>
      </c>
      <c r="BB433" t="str">
        <f t="shared" si="31"/>
        <v/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0</v>
      </c>
      <c r="L434" s="25">
        <v>0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 t="str">
        <f t="shared" si="30"/>
        <v/>
      </c>
      <c r="BB434" t="str">
        <f t="shared" si="31"/>
        <v/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0</v>
      </c>
      <c r="L435" s="25">
        <v>0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 t="str">
        <f t="shared" si="30"/>
        <v/>
      </c>
      <c r="BB435" t="str">
        <f t="shared" si="31"/>
        <v/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0</v>
      </c>
      <c r="L436" s="25">
        <v>0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 t="str">
        <f t="shared" si="30"/>
        <v/>
      </c>
      <c r="BB436" t="str">
        <f t="shared" si="31"/>
        <v/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0</v>
      </c>
      <c r="L437" s="25">
        <v>0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 t="str">
        <f t="shared" si="30"/>
        <v/>
      </c>
      <c r="BB437" t="str">
        <f t="shared" si="31"/>
        <v/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0</v>
      </c>
      <c r="L438" s="25">
        <v>0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 t="str">
        <f t="shared" si="30"/>
        <v/>
      </c>
      <c r="BB438" t="str">
        <f t="shared" si="31"/>
        <v/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0</v>
      </c>
      <c r="L439" s="25">
        <v>0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 t="str">
        <f t="shared" si="30"/>
        <v/>
      </c>
      <c r="BB439" t="str">
        <f t="shared" si="31"/>
        <v/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0</v>
      </c>
      <c r="L440" s="25">
        <v>0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 t="str">
        <f t="shared" si="30"/>
        <v/>
      </c>
      <c r="BB440" t="str">
        <f t="shared" si="31"/>
        <v/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0</v>
      </c>
      <c r="L441" s="25">
        <v>0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 t="str">
        <f t="shared" si="30"/>
        <v/>
      </c>
      <c r="BB441" t="str">
        <f t="shared" si="31"/>
        <v/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0</v>
      </c>
      <c r="L442" s="25">
        <v>0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 t="str">
        <f t="shared" si="30"/>
        <v/>
      </c>
      <c r="BB442" t="str">
        <f t="shared" si="31"/>
        <v/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0</v>
      </c>
      <c r="L443" s="25">
        <v>0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 t="str">
        <f t="shared" si="30"/>
        <v/>
      </c>
      <c r="BB443" t="str">
        <f t="shared" si="31"/>
        <v/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0</v>
      </c>
      <c r="L444" s="25">
        <v>0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 t="str">
        <f t="shared" si="30"/>
        <v/>
      </c>
      <c r="BB444" t="str">
        <f t="shared" si="31"/>
        <v/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0</v>
      </c>
      <c r="L445" s="25">
        <v>0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 t="str">
        <f t="shared" si="30"/>
        <v/>
      </c>
      <c r="BB445" t="str">
        <f t="shared" si="31"/>
        <v/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0</v>
      </c>
      <c r="L446" s="25">
        <v>0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 t="str">
        <f t="shared" si="30"/>
        <v/>
      </c>
      <c r="BB446" t="str">
        <f t="shared" si="31"/>
        <v/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0</v>
      </c>
      <c r="L447" s="25">
        <v>0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 t="str">
        <f t="shared" si="30"/>
        <v/>
      </c>
      <c r="BB447" t="str">
        <f t="shared" si="31"/>
        <v/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0</v>
      </c>
      <c r="L448" s="25">
        <v>0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 t="str">
        <f t="shared" si="30"/>
        <v/>
      </c>
      <c r="BB448" t="str">
        <f t="shared" si="31"/>
        <v/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0</v>
      </c>
      <c r="L449" s="25">
        <v>0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 t="str">
        <f t="shared" si="30"/>
        <v/>
      </c>
      <c r="BB449" t="str">
        <f t="shared" si="31"/>
        <v/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0</v>
      </c>
      <c r="L450" s="25">
        <v>0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 t="str">
        <f t="shared" si="30"/>
        <v/>
      </c>
      <c r="BB450" t="str">
        <f t="shared" si="31"/>
        <v/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0</v>
      </c>
      <c r="L451" s="25">
        <v>0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 t="str">
        <f t="shared" si="30"/>
        <v/>
      </c>
      <c r="BB451" t="str">
        <f t="shared" si="31"/>
        <v/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0</v>
      </c>
      <c r="L452" s="25">
        <v>0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 t="str">
        <f t="shared" si="30"/>
        <v/>
      </c>
      <c r="BB452" t="str">
        <f t="shared" si="31"/>
        <v/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0</v>
      </c>
      <c r="L453" s="25">
        <v>0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 t="str">
        <f t="shared" si="30"/>
        <v/>
      </c>
      <c r="BB453" t="str">
        <f t="shared" si="31"/>
        <v/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0</v>
      </c>
      <c r="L454" s="25">
        <v>0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 t="str">
        <f t="shared" si="30"/>
        <v/>
      </c>
      <c r="BB454" t="str">
        <f t="shared" si="31"/>
        <v/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0</v>
      </c>
      <c r="L455" s="25">
        <v>0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 t="str">
        <f t="shared" si="30"/>
        <v/>
      </c>
      <c r="BB455" t="str">
        <f t="shared" si="31"/>
        <v/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0</v>
      </c>
      <c r="L456" s="25">
        <v>0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 t="str">
        <f t="shared" si="30"/>
        <v/>
      </c>
      <c r="BB456" t="str">
        <f t="shared" si="31"/>
        <v/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0</v>
      </c>
      <c r="L457" s="25">
        <v>0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 t="str">
        <f t="shared" si="30"/>
        <v/>
      </c>
      <c r="BB457" t="str">
        <f t="shared" si="31"/>
        <v/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0</v>
      </c>
      <c r="L458" s="25">
        <v>0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 t="str">
        <f t="shared" si="30"/>
        <v/>
      </c>
      <c r="BB458" t="str">
        <f t="shared" si="31"/>
        <v/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0</v>
      </c>
      <c r="L459" s="25">
        <v>0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 t="str">
        <f t="shared" si="30"/>
        <v/>
      </c>
      <c r="BB459" t="str">
        <f t="shared" si="31"/>
        <v/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0</v>
      </c>
      <c r="L460" s="25">
        <v>0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 t="str">
        <f t="shared" si="30"/>
        <v/>
      </c>
      <c r="BB460" t="str">
        <f t="shared" si="31"/>
        <v/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0</v>
      </c>
      <c r="L461" s="25">
        <v>0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 t="str">
        <f t="shared" si="30"/>
        <v/>
      </c>
      <c r="BB461" t="str">
        <f t="shared" si="31"/>
        <v/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0</v>
      </c>
      <c r="L462" s="25">
        <v>0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 t="str">
        <f t="shared" si="30"/>
        <v/>
      </c>
      <c r="BB462" t="str">
        <f t="shared" si="31"/>
        <v/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0</v>
      </c>
      <c r="L463" s="25">
        <v>0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 t="str">
        <f t="shared" si="30"/>
        <v/>
      </c>
      <c r="BB463" t="str">
        <f t="shared" si="31"/>
        <v/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0</v>
      </c>
      <c r="L464" s="25">
        <v>0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 t="str">
        <f t="shared" si="30"/>
        <v/>
      </c>
      <c r="BB464" t="str">
        <f t="shared" si="31"/>
        <v/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0</v>
      </c>
      <c r="L465" s="25">
        <v>0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 t="str">
        <f t="shared" si="30"/>
        <v/>
      </c>
      <c r="BB465" t="str">
        <f t="shared" si="31"/>
        <v/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0</v>
      </c>
      <c r="L466" s="25">
        <v>0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 t="str">
        <f t="shared" si="30"/>
        <v/>
      </c>
      <c r="BB466" t="str">
        <f t="shared" si="31"/>
        <v/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0</v>
      </c>
      <c r="L467" s="25">
        <v>0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 t="str">
        <f t="shared" si="30"/>
        <v/>
      </c>
      <c r="BB467" t="str">
        <f t="shared" si="31"/>
        <v/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0</v>
      </c>
      <c r="L468" s="25">
        <v>0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 t="str">
        <f t="shared" si="30"/>
        <v/>
      </c>
      <c r="BB468" t="str">
        <f t="shared" si="31"/>
        <v/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0</v>
      </c>
      <c r="L469" s="25">
        <v>0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 t="str">
        <f t="shared" ref="BA469:BA532" si="36">IF((K469)&lt;&gt;0,(K469),"")</f>
        <v/>
      </c>
      <c r="BB469" t="str">
        <f t="shared" ref="BB469:BJ532" si="37">IF((L469)&lt;&gt;0,(L469),"")</f>
        <v/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0</v>
      </c>
      <c r="L470" s="25">
        <v>0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 t="str">
        <f t="shared" si="36"/>
        <v/>
      </c>
      <c r="BB470" t="str">
        <f t="shared" si="37"/>
        <v/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0</v>
      </c>
      <c r="L471" s="25">
        <v>0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 t="str">
        <f t="shared" si="36"/>
        <v/>
      </c>
      <c r="BB471" t="str">
        <f t="shared" si="37"/>
        <v/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0</v>
      </c>
      <c r="L472" s="25">
        <v>0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 t="str">
        <f t="shared" si="36"/>
        <v/>
      </c>
      <c r="BB472" t="str">
        <f t="shared" si="37"/>
        <v/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0</v>
      </c>
      <c r="L473" s="25">
        <v>0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 t="str">
        <f t="shared" si="36"/>
        <v/>
      </c>
      <c r="BB473" t="str">
        <f t="shared" si="37"/>
        <v/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0</v>
      </c>
      <c r="L474" s="25">
        <v>0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 t="str">
        <f t="shared" si="36"/>
        <v/>
      </c>
      <c r="BB474" t="str">
        <f t="shared" si="37"/>
        <v/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0</v>
      </c>
      <c r="L475" s="25">
        <v>0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 t="str">
        <f t="shared" si="36"/>
        <v/>
      </c>
      <c r="BB475" t="str">
        <f t="shared" si="37"/>
        <v/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0</v>
      </c>
      <c r="L476" s="25">
        <v>0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 t="str">
        <f t="shared" si="36"/>
        <v/>
      </c>
      <c r="BB476" t="str">
        <f t="shared" si="37"/>
        <v/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0</v>
      </c>
      <c r="L477" s="25">
        <v>0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 t="str">
        <f t="shared" si="36"/>
        <v/>
      </c>
      <c r="BB477" t="str">
        <f t="shared" si="37"/>
        <v/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0</v>
      </c>
      <c r="L478" s="25">
        <v>0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 t="str">
        <f t="shared" si="36"/>
        <v/>
      </c>
      <c r="BB478" t="str">
        <f t="shared" si="37"/>
        <v/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0</v>
      </c>
      <c r="L479" s="25">
        <v>0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 t="str">
        <f t="shared" si="36"/>
        <v/>
      </c>
      <c r="BB479" t="str">
        <f t="shared" si="37"/>
        <v/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0</v>
      </c>
      <c r="L480" s="25">
        <v>0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 t="str">
        <f t="shared" si="36"/>
        <v/>
      </c>
      <c r="BB480" t="str">
        <f t="shared" si="37"/>
        <v/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0</v>
      </c>
      <c r="L481" s="25">
        <v>0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 t="str">
        <f t="shared" si="36"/>
        <v/>
      </c>
      <c r="BB481" t="str">
        <f t="shared" si="37"/>
        <v/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0</v>
      </c>
      <c r="L482" s="25">
        <v>0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 t="str">
        <f t="shared" si="36"/>
        <v/>
      </c>
      <c r="BB482" t="str">
        <f t="shared" si="37"/>
        <v/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0</v>
      </c>
      <c r="L483" s="25">
        <v>0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 t="str">
        <f t="shared" si="36"/>
        <v/>
      </c>
      <c r="BB483" t="str">
        <f t="shared" si="37"/>
        <v/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0</v>
      </c>
      <c r="L484" s="25">
        <v>0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 t="str">
        <f t="shared" si="36"/>
        <v/>
      </c>
      <c r="BB484" t="str">
        <f t="shared" si="37"/>
        <v/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0</v>
      </c>
      <c r="L485" s="25">
        <v>0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 t="str">
        <f t="shared" si="36"/>
        <v/>
      </c>
      <c r="BB485" t="str">
        <f t="shared" si="37"/>
        <v/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0</v>
      </c>
      <c r="L486" s="25">
        <v>0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 t="str">
        <f t="shared" si="36"/>
        <v/>
      </c>
      <c r="BB486" t="str">
        <f t="shared" si="37"/>
        <v/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0</v>
      </c>
      <c r="L487" s="25">
        <v>0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 t="str">
        <f t="shared" si="36"/>
        <v/>
      </c>
      <c r="BB487" t="str">
        <f t="shared" si="37"/>
        <v/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0</v>
      </c>
      <c r="L488" s="25">
        <v>0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 t="str">
        <f t="shared" si="36"/>
        <v/>
      </c>
      <c r="BB488" t="str">
        <f t="shared" si="37"/>
        <v/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0</v>
      </c>
      <c r="L489" s="25">
        <v>0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 t="str">
        <f t="shared" si="36"/>
        <v/>
      </c>
      <c r="BB489" t="str">
        <f t="shared" si="37"/>
        <v/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0</v>
      </c>
      <c r="L490" s="25">
        <v>0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 t="str">
        <f t="shared" si="36"/>
        <v/>
      </c>
      <c r="BB490" t="str">
        <f t="shared" si="37"/>
        <v/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0</v>
      </c>
      <c r="L491" s="25">
        <v>0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 t="str">
        <f t="shared" si="36"/>
        <v/>
      </c>
      <c r="BB491" t="str">
        <f t="shared" si="37"/>
        <v/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0</v>
      </c>
      <c r="L492" s="25">
        <v>0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 t="str">
        <f t="shared" si="36"/>
        <v/>
      </c>
      <c r="BB492" t="str">
        <f t="shared" si="37"/>
        <v/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0</v>
      </c>
      <c r="L493" s="25">
        <v>0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 t="str">
        <f t="shared" si="36"/>
        <v/>
      </c>
      <c r="BB493" t="str">
        <f t="shared" si="37"/>
        <v/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0</v>
      </c>
      <c r="L494" s="25">
        <v>0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 t="str">
        <f t="shared" si="36"/>
        <v/>
      </c>
      <c r="BB494" t="str">
        <f t="shared" si="37"/>
        <v/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0</v>
      </c>
      <c r="L495" s="25">
        <v>0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 t="str">
        <f t="shared" si="36"/>
        <v/>
      </c>
      <c r="BB495" t="str">
        <f t="shared" si="37"/>
        <v/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0</v>
      </c>
      <c r="L496" s="25">
        <v>0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 t="str">
        <f t="shared" si="36"/>
        <v/>
      </c>
      <c r="BB496" t="str">
        <f t="shared" si="37"/>
        <v/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0</v>
      </c>
      <c r="L497" s="25">
        <v>0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 t="str">
        <f t="shared" si="36"/>
        <v/>
      </c>
      <c r="BB497" t="str">
        <f t="shared" si="37"/>
        <v/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0</v>
      </c>
      <c r="L498" s="25">
        <v>0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 t="str">
        <f t="shared" si="36"/>
        <v/>
      </c>
      <c r="BB498" t="str">
        <f t="shared" si="37"/>
        <v/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0</v>
      </c>
      <c r="L499" s="25">
        <v>0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 t="str">
        <f t="shared" si="36"/>
        <v/>
      </c>
      <c r="BB499" t="str">
        <f t="shared" si="37"/>
        <v/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0</v>
      </c>
      <c r="L500" s="25">
        <v>0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 t="str">
        <f t="shared" si="36"/>
        <v/>
      </c>
      <c r="BB500" t="str">
        <f t="shared" si="37"/>
        <v/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0</v>
      </c>
      <c r="L501" s="25">
        <v>0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 t="str">
        <f t="shared" si="36"/>
        <v/>
      </c>
      <c r="BB501" t="str">
        <f t="shared" si="37"/>
        <v/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0</v>
      </c>
      <c r="L502" s="25">
        <v>0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 t="str">
        <f t="shared" si="36"/>
        <v/>
      </c>
      <c r="BB502" t="str">
        <f t="shared" si="37"/>
        <v/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0</v>
      </c>
      <c r="L503" s="25">
        <v>0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 t="str">
        <f t="shared" si="36"/>
        <v/>
      </c>
      <c r="BB503" t="str">
        <f t="shared" si="37"/>
        <v/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0</v>
      </c>
      <c r="L504" s="25">
        <v>0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 t="str">
        <f t="shared" si="36"/>
        <v/>
      </c>
      <c r="BB504" t="str">
        <f t="shared" si="37"/>
        <v/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0</v>
      </c>
      <c r="L505" s="25">
        <v>0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 t="str">
        <f t="shared" si="36"/>
        <v/>
      </c>
      <c r="BB505" t="str">
        <f t="shared" si="37"/>
        <v/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0</v>
      </c>
      <c r="L506" s="25">
        <v>0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 t="str">
        <f t="shared" si="36"/>
        <v/>
      </c>
      <c r="BB506" t="str">
        <f t="shared" si="37"/>
        <v/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0</v>
      </c>
      <c r="L507" s="25">
        <v>0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 t="str">
        <f t="shared" si="36"/>
        <v/>
      </c>
      <c r="BB507" t="str">
        <f t="shared" si="37"/>
        <v/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0</v>
      </c>
      <c r="L508" s="25">
        <v>0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 t="str">
        <f t="shared" si="36"/>
        <v/>
      </c>
      <c r="BB508" t="str">
        <f t="shared" si="37"/>
        <v/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0</v>
      </c>
      <c r="L509" s="25">
        <v>0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 t="str">
        <f t="shared" si="36"/>
        <v/>
      </c>
      <c r="BB509" t="str">
        <f t="shared" si="37"/>
        <v/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0</v>
      </c>
      <c r="L510" s="25">
        <v>0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 t="str">
        <f t="shared" si="36"/>
        <v/>
      </c>
      <c r="BB510" t="str">
        <f t="shared" si="37"/>
        <v/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0</v>
      </c>
      <c r="L511" s="25">
        <v>0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 t="str">
        <f t="shared" si="36"/>
        <v/>
      </c>
      <c r="BB511" t="str">
        <f t="shared" si="37"/>
        <v/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0</v>
      </c>
      <c r="L512" s="25">
        <v>0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 t="str">
        <f t="shared" si="36"/>
        <v/>
      </c>
      <c r="BB512" t="str">
        <f t="shared" si="37"/>
        <v/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0</v>
      </c>
      <c r="L513" s="25">
        <v>0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 t="str">
        <f t="shared" si="36"/>
        <v/>
      </c>
      <c r="BB513" t="str">
        <f t="shared" si="37"/>
        <v/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0</v>
      </c>
      <c r="L514" s="25">
        <v>0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 t="str">
        <f t="shared" si="36"/>
        <v/>
      </c>
      <c r="BB514" t="str">
        <f t="shared" si="37"/>
        <v/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0</v>
      </c>
      <c r="L515" s="25">
        <v>0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 t="str">
        <f t="shared" si="36"/>
        <v/>
      </c>
      <c r="BB515" t="str">
        <f t="shared" si="37"/>
        <v/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0</v>
      </c>
      <c r="L516" s="25">
        <v>0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 t="str">
        <f t="shared" si="36"/>
        <v/>
      </c>
      <c r="BB516" t="str">
        <f t="shared" si="37"/>
        <v/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0</v>
      </c>
      <c r="L517" s="25">
        <v>0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 t="str">
        <f t="shared" si="36"/>
        <v/>
      </c>
      <c r="BB517" t="str">
        <f t="shared" si="37"/>
        <v/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0</v>
      </c>
      <c r="L518" s="25">
        <v>0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 t="str">
        <f t="shared" si="36"/>
        <v/>
      </c>
      <c r="BB518" t="str">
        <f t="shared" si="37"/>
        <v/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0</v>
      </c>
      <c r="L519" s="25">
        <v>0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 t="str">
        <f t="shared" si="36"/>
        <v/>
      </c>
      <c r="BB519" t="str">
        <f t="shared" si="37"/>
        <v/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0</v>
      </c>
      <c r="L520" s="25">
        <v>0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 t="str">
        <f t="shared" si="36"/>
        <v/>
      </c>
      <c r="BB520" t="str">
        <f t="shared" si="37"/>
        <v/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0</v>
      </c>
      <c r="L521" s="25">
        <v>0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 t="str">
        <f t="shared" si="36"/>
        <v/>
      </c>
      <c r="BB521" t="str">
        <f t="shared" si="37"/>
        <v/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0</v>
      </c>
      <c r="L522" s="25">
        <v>0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 t="str">
        <f t="shared" si="36"/>
        <v/>
      </c>
      <c r="BB522" t="str">
        <f t="shared" si="37"/>
        <v/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0</v>
      </c>
      <c r="L523" s="25">
        <v>0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 t="str">
        <f t="shared" si="36"/>
        <v/>
      </c>
      <c r="BB523" t="str">
        <f t="shared" si="37"/>
        <v/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0</v>
      </c>
      <c r="L524" s="25">
        <v>0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 t="str">
        <f t="shared" si="36"/>
        <v/>
      </c>
      <c r="BB524" t="str">
        <f t="shared" si="37"/>
        <v/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0</v>
      </c>
      <c r="L525" s="25">
        <v>0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 t="str">
        <f t="shared" si="36"/>
        <v/>
      </c>
      <c r="BB525" t="str">
        <f t="shared" si="37"/>
        <v/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0</v>
      </c>
      <c r="L526" s="25">
        <v>0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 t="str">
        <f t="shared" si="36"/>
        <v/>
      </c>
      <c r="BB526" t="str">
        <f t="shared" si="37"/>
        <v/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0</v>
      </c>
      <c r="L527" s="25">
        <v>0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 t="str">
        <f t="shared" si="36"/>
        <v/>
      </c>
      <c r="BB527" t="str">
        <f t="shared" si="37"/>
        <v/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0</v>
      </c>
      <c r="L528" s="25">
        <v>0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 t="str">
        <f t="shared" si="36"/>
        <v/>
      </c>
      <c r="BB528" t="str">
        <f t="shared" si="37"/>
        <v/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0</v>
      </c>
      <c r="L529" s="25">
        <v>0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 t="str">
        <f t="shared" si="36"/>
        <v/>
      </c>
      <c r="BB529" t="str">
        <f t="shared" si="37"/>
        <v/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0</v>
      </c>
      <c r="L530" s="25">
        <v>0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 t="str">
        <f t="shared" si="36"/>
        <v/>
      </c>
      <c r="BB530" t="str">
        <f t="shared" si="37"/>
        <v/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0</v>
      </c>
      <c r="L531" s="25">
        <v>0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 t="str">
        <f t="shared" si="36"/>
        <v/>
      </c>
      <c r="BB531" t="str">
        <f t="shared" si="37"/>
        <v/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0</v>
      </c>
      <c r="L532" s="25">
        <v>0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 t="str">
        <f t="shared" si="36"/>
        <v/>
      </c>
      <c r="BB532" t="str">
        <f t="shared" si="37"/>
        <v/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0</v>
      </c>
      <c r="L533" s="25">
        <v>0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 t="str">
        <f t="shared" ref="BA533:BA596" si="38">IF((K533)&lt;&gt;0,(K533),"")</f>
        <v/>
      </c>
      <c r="BB533" t="str">
        <f t="shared" ref="BB533:BD596" si="39">IF((L533)&lt;&gt;0,(L533),"")</f>
        <v/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0</v>
      </c>
      <c r="L534" s="25">
        <v>0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 t="str">
        <f t="shared" si="38"/>
        <v/>
      </c>
      <c r="BB534" t="str">
        <f t="shared" si="39"/>
        <v/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0</v>
      </c>
      <c r="L535" s="25">
        <v>0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 t="str">
        <f t="shared" si="38"/>
        <v/>
      </c>
      <c r="BB535" t="str">
        <f t="shared" si="39"/>
        <v/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0</v>
      </c>
      <c r="L536" s="25">
        <v>0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 t="str">
        <f t="shared" si="38"/>
        <v/>
      </c>
      <c r="BB536" t="str">
        <f t="shared" si="39"/>
        <v/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0</v>
      </c>
      <c r="L537" s="25">
        <v>0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 t="str">
        <f t="shared" si="38"/>
        <v/>
      </c>
      <c r="BB537" t="str">
        <f t="shared" si="39"/>
        <v/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0</v>
      </c>
      <c r="L538" s="25">
        <v>0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 t="str">
        <f t="shared" si="38"/>
        <v/>
      </c>
      <c r="BB538" t="str">
        <f t="shared" si="39"/>
        <v/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abSelected="1" topLeftCell="A12" zoomScale="101" zoomScaleNormal="100" workbookViewId="0">
      <selection activeCell="D46" sqref="D46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2.2851562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cal40</v>
      </c>
      <c r="H5" s="12"/>
    </row>
    <row r="6" spans="1:15" x14ac:dyDescent="0.2">
      <c r="B6" s="40" t="s">
        <v>26</v>
      </c>
      <c r="C6" s="30">
        <f>FechaEnsayo</f>
        <v>46357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4" spans="2:14" x14ac:dyDescent="0.2">
      <c r="M34">
        <v>0.7</v>
      </c>
      <c r="N34">
        <v>23.9</v>
      </c>
    </row>
    <row r="35" spans="2:14" x14ac:dyDescent="0.2">
      <c r="N35">
        <f>N34+30</f>
        <v>53.9</v>
      </c>
    </row>
    <row r="37" spans="2:14" x14ac:dyDescent="0.2">
      <c r="M37">
        <v>2.4</v>
      </c>
      <c r="N37">
        <v>54.7</v>
      </c>
    </row>
    <row r="39" spans="2:14" x14ac:dyDescent="0.2">
      <c r="M39" s="17" t="s">
        <v>30</v>
      </c>
      <c r="N39">
        <f>(N37-N34)/(M37-M34)</f>
        <v>18.117647058823533</v>
      </c>
    </row>
    <row r="44" spans="2:14" ht="13.5" thickBot="1" x14ac:dyDescent="0.25">
      <c r="M44" s="17">
        <f>0.7 + 2.4</f>
        <v>3.0999999999999996</v>
      </c>
    </row>
    <row r="45" spans="2:14" ht="20.25" customHeight="1" thickBot="1" x14ac:dyDescent="0.25">
      <c r="B45" s="43" t="s">
        <v>21</v>
      </c>
      <c r="C45" s="43" t="s">
        <v>28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29</v>
      </c>
      <c r="I45" s="53" t="s">
        <v>31</v>
      </c>
      <c r="J45" s="53" t="s">
        <v>32</v>
      </c>
    </row>
    <row r="46" spans="2:14" x14ac:dyDescent="0.2">
      <c r="B46" s="11"/>
      <c r="C46" s="46">
        <v>6.6282069926357137</v>
      </c>
      <c r="D46" s="47">
        <f>IF(C46&lt;&gt;0, E$46*F$46*(C46)/(H$46*G$46), "")</f>
        <v>38.859163706243812</v>
      </c>
      <c r="E46">
        <f>36/1000</f>
        <v>3.5999999999999997E-2</v>
      </c>
      <c r="F46">
        <v>0.38500000000000001</v>
      </c>
      <c r="G46" s="9">
        <v>2.5149999999999999E-3</v>
      </c>
      <c r="H46" s="10">
        <v>0.94</v>
      </c>
      <c r="I46">
        <v>0.2</v>
      </c>
      <c r="J46">
        <v>10</v>
      </c>
    </row>
    <row r="47" spans="2:14" x14ac:dyDescent="0.2">
      <c r="B47" s="11"/>
      <c r="C47" s="46"/>
      <c r="D47" s="47" t="str">
        <f t="shared" ref="D47:D51" si="0">IF(C47&lt;&gt;0, E$46*F$46*(30/C47)/(H$46*G$46), "")</f>
        <v/>
      </c>
      <c r="E47" s="47"/>
      <c r="H47" s="12"/>
    </row>
    <row r="48" spans="2:14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102.49798583979999</v>
      </c>
      <c r="D73" s="32">
        <f>MAX(Hoja1!K5:K2000)</f>
        <v>24.60000038147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opLeftCell="A8" zoomScaleNormal="100" workbookViewId="0">
      <selection activeCell="E46" sqref="E46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cal40</v>
      </c>
      <c r="H5" s="12"/>
    </row>
    <row r="6" spans="1:15" x14ac:dyDescent="0.2">
      <c r="B6" s="40" t="s">
        <v>26</v>
      </c>
      <c r="C6" s="30">
        <f>FechaEnsayo</f>
        <v>46357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/>
      <c r="D45" s="43"/>
      <c r="E45" s="43" t="s">
        <v>20</v>
      </c>
      <c r="F45" s="43" t="s">
        <v>22</v>
      </c>
      <c r="G45" s="45" t="s">
        <v>12</v>
      </c>
      <c r="H45" s="44" t="s">
        <v>23</v>
      </c>
    </row>
    <row r="46" spans="2:8" x14ac:dyDescent="0.2">
      <c r="B46" s="11"/>
      <c r="C46" s="46"/>
      <c r="D46" s="46"/>
      <c r="E46" s="47" t="str">
        <f>IF(C46&lt;&gt;0, F$46*G$46*12/(H$46*(C46-D46)), "")</f>
        <v/>
      </c>
      <c r="F46">
        <f>36/1000</f>
        <v>3.5999999999999997E-2</v>
      </c>
      <c r="G46">
        <v>0.38500000000000001</v>
      </c>
      <c r="H46" s="12">
        <v>2.5149999999999999E-3</v>
      </c>
    </row>
    <row r="47" spans="2:8" x14ac:dyDescent="0.2">
      <c r="B47" s="11"/>
      <c r="C47" s="46"/>
      <c r="D47" s="46"/>
      <c r="E47" s="47" t="str">
        <f t="shared" ref="E47:E51" si="0">IF(C47&lt;&gt;0, F$46*G$46*12/(H$46*(C47-D47)), "")</f>
        <v/>
      </c>
      <c r="H47" s="12"/>
    </row>
    <row r="48" spans="2:8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102.49798583979999</v>
      </c>
      <c r="D73" s="32">
        <f>MAX(Hoja1!K5:K2000)</f>
        <v>24.60000038147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2026-01-12T13:18:54Z</dcterms:modified>
</cp:coreProperties>
</file>